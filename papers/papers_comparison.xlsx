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laxyBook3Pro\Documents\IDM_Lab_Study_GitHub\papers\"/>
    </mc:Choice>
  </mc:AlternateContent>
  <xr:revisionPtr revIDLastSave="0" documentId="13_ncr:1_{892D73A2-3B64-4CD1-A3A9-A7AD4CE9A831}" xr6:coauthVersionLast="47" xr6:coauthVersionMax="47" xr10:uidLastSave="{00000000-0000-0000-0000-000000000000}"/>
  <bookViews>
    <workbookView xWindow="-98" yWindow="-98" windowWidth="21795" windowHeight="13695" activeTab="3" xr2:uid="{00000000-000D-0000-FFFF-FFFF00000000}"/>
  </bookViews>
  <sheets>
    <sheet name="개요" sheetId="1" r:id="rId1"/>
    <sheet name="비교 매트릭스" sheetId="2" r:id="rId2"/>
    <sheet name="논문별 차별점" sheetId="3" r:id="rId3"/>
    <sheet name="카테고리 요약" sheetId="4" r:id="rId4"/>
    <sheet name="Future work 근거" sheetId="5" r:id="rId5"/>
    <sheet name="약점·보완" sheetId="6" r:id="rId6"/>
  </sheets>
  <definedNames>
    <definedName name="_xlnm._FilterDatabase" localSheetId="2" hidden="1">'논문별 차별점'!$A$4:$L$25</definedName>
    <definedName name="_xlnm._FilterDatabase" localSheetId="1" hidden="1">'비교 매트릭스'!$A$4:$O$25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L28" i="2"/>
  <c r="K28" i="2"/>
  <c r="J28" i="2"/>
  <c r="I28" i="2"/>
  <c r="H28" i="2"/>
  <c r="G28" i="2"/>
  <c r="F28" i="2"/>
  <c r="E28" i="2"/>
  <c r="M27" i="2"/>
  <c r="L27" i="2"/>
  <c r="K27" i="2"/>
  <c r="J27" i="2"/>
  <c r="I27" i="2"/>
  <c r="H27" i="2"/>
  <c r="G27" i="2"/>
  <c r="F27" i="2"/>
  <c r="E27" i="2"/>
</calcChain>
</file>

<file path=xl/sharedStrings.xml><?xml version="1.0" encoding="utf-8"?>
<sst xmlns="http://schemas.openxmlformats.org/spreadsheetml/2006/main" count="721" uniqueCount="370">
  <si>
    <t>다공장 생산·운송 MILP 모델 vs 관련 논문 21편 비교</t>
  </si>
  <si>
    <t>코드</t>
  </si>
  <si>
    <t>카테고리</t>
  </si>
  <si>
    <t>우리 모델</t>
  </si>
  <si>
    <t>A</t>
  </si>
  <si>
    <t>공장 구조</t>
  </si>
  <si>
    <t>공장마다 처리시간이 다르고 생산 가능 품목이 정해져 있음. 같은 품목을 여러 공장이 수량을 나눠 생산 가능</t>
  </si>
  <si>
    <t>B</t>
  </si>
  <si>
    <t>제품 구조(BOM)</t>
  </si>
  <si>
    <t>다단계 조립 트리, 하나의 부품을 여러 상위 제품이 공유(JT5 → JT9·JT12). 하위 부품과 상위 조립을 다른 공장에서 생산 가능</t>
  </si>
  <si>
    <t>C</t>
  </si>
  <si>
    <t>로트·배치</t>
  </si>
  <si>
    <t>공장·품목별로 허용된 로트 크기 집합에서 골라 출하, 로트는 쪼개지 않음</t>
  </si>
  <si>
    <t>D</t>
  </si>
  <si>
    <t>운송 자원</t>
  </si>
  <si>
    <t>트럭 대수·용량 제한, 트럭 초기 배치 결정, 빈 차 재배치·재사용, 여러 공장 경유·중간 공장 환적</t>
  </si>
  <si>
    <t>E</t>
  </si>
  <si>
    <t>목적함수·비용</t>
  </si>
  <si>
    <t>makespan 최우선 + 공장 재고비용 + 운송 중 재고비용 + 사용 트럭 수 + 총 주행시간</t>
  </si>
  <si>
    <t>F</t>
  </si>
  <si>
    <t>모델링</t>
  </si>
  <si>
    <t>시간을 칸으로 나눈 단일 MILP. 생산 일정·재고·트럭 위치·화물 흐름을 같은 시간축 위에서 결합</t>
  </si>
  <si>
    <t>●</t>
  </si>
  <si>
    <t>◐</t>
  </si>
  <si>
    <t>–</t>
  </si>
  <si>
    <t>없음</t>
  </si>
  <si>
    <t>시트 구성</t>
  </si>
  <si>
    <t>비교 매트릭스</t>
  </si>
  <si>
    <t>21편 × 카테고리 요소 유무(●◐–), 하단에 요소별 보유 논문 수</t>
  </si>
  <si>
    <t>논문별 차별점</t>
  </si>
  <si>
    <t>논문마다 A~F 카테고리별 우리 모델의 차별점과 논문이 앞선 점</t>
  </si>
  <si>
    <t>카테고리 요약</t>
  </si>
  <si>
    <t>카테고리별 강한 차별점과 주의할 논문</t>
  </si>
  <si>
    <t>Future work 근거</t>
  </si>
  <si>
    <t>논문이 future work로 남긴 것 중 우리 모델이 다루는 것</t>
  </si>
  <si>
    <t>약점·보완</t>
  </si>
  <si>
    <t>리뷰어가 지적할 가능성이 높은 약점</t>
  </si>
  <si>
    <t>#</t>
  </si>
  <si>
    <t>그룹</t>
  </si>
  <si>
    <t>논문(약칭)</t>
  </si>
  <si>
    <t>저자 / 저널 (연도)</t>
  </si>
  <si>
    <t>A
다공장·분할생산</t>
  </si>
  <si>
    <t>B
BOM</t>
  </si>
  <si>
    <t>공장 간
반제품 이동</t>
  </si>
  <si>
    <t>C
로트</t>
  </si>
  <si>
    <t>D
트럭 대수 제한</t>
  </si>
  <si>
    <t>D
경로·환적</t>
  </si>
  <si>
    <t>D
빈 차·초기 위치</t>
  </si>
  <si>
    <t>E
재고비용</t>
  </si>
  <si>
    <t>E
운송 중 재고</t>
  </si>
  <si>
    <t>F
시간 표현</t>
  </si>
  <si>
    <t>주 목적</t>
  </si>
  <si>
    <t>3. 로트·조립</t>
  </si>
  <si>
    <t>CP 조립 flow shop + 배치 직배송</t>
  </si>
  <si>
    <t>Zeng, Liu, Li / C&amp;OR 173 (2025)</t>
  </si>
  <si>
    <t>순서 변수 + 시점 변수 혼합</t>
  </si>
  <si>
    <t>비용(지연·재고·배송)</t>
  </si>
  <si>
    <t>2. 생산–운송 통합</t>
  </si>
  <si>
    <t>ACO 생산 + 차량 경로</t>
  </si>
  <si>
    <t>Ashour et al. / Scientific Reports 15 (2025)</t>
  </si>
  <si>
    <t>연속시간 big-M</t>
  </si>
  <si>
    <t>운송비 + 조기·지연</t>
  </si>
  <si>
    <t>4. 공장 간 이송·운송</t>
  </si>
  <si>
    <t>다공장 lot-sizing + 공장 간 이송</t>
  </si>
  <si>
    <t>Sambasivan, Yahya / C&amp;OR 32 (2005)</t>
  </si>
  <si>
    <t>기간 단위</t>
  </si>
  <si>
    <t>비용</t>
  </si>
  <si>
    <t>flow shop lot streaming 비용 모델</t>
  </si>
  <si>
    <t>Chiu, Chang / Omega 33 (2005)</t>
  </si>
  <si>
    <t>해석적 모델</t>
  </si>
  <si>
    <t>비용(+makespan 환산)</t>
  </si>
  <si>
    <t>1. 분산·다공장</t>
  </si>
  <si>
    <t>다공장 생산 + 차량 경로 + 생산 가능 공장 제한</t>
  </si>
  <si>
    <t>Wang, Huang / ESWA 310 (2026)</t>
  </si>
  <si>
    <t>차량비 + 지연</t>
  </si>
  <si>
    <t>공장 내 AGV 자재 배송</t>
  </si>
  <si>
    <t>Liang, Zhou, Jiang / IJPR 63(3) (2025)</t>
  </si>
  <si>
    <t>지연 + AGV 수</t>
  </si>
  <si>
    <t>2단계 조립 lot streaming</t>
  </si>
  <si>
    <t>Cheng, Sarin / Annual Reviews in Control 50 (2020)</t>
  </si>
  <si>
    <t>makespan / 비용</t>
  </si>
  <si>
    <t>유연 job shop + 조립 + AGV</t>
  </si>
  <si>
    <t>Yang et al. / IEEE Access 13 (2025)</t>
  </si>
  <si>
    <t>makespan + 에너지</t>
  </si>
  <si>
    <t>batch plant + 배송 차량 경로</t>
  </si>
  <si>
    <t>Tibaldo, Montagna, Fumero / IJIEC 16 (2025)</t>
  </si>
  <si>
    <t>연속시간 time-slot</t>
  </si>
  <si>
    <t>조립 job shop lot streaming</t>
  </si>
  <si>
    <t>Cheng, Tang, Zhang / JMS 70 (2023)</t>
  </si>
  <si>
    <t>완료시간 합 + 셋업</t>
  </si>
  <si>
    <t>분산 조립 HFS + 운송 자원</t>
  </si>
  <si>
    <t>Luo et al. / CIE 186 (2023)</t>
  </si>
  <si>
    <t>분산 HFS lot streaming</t>
  </si>
  <si>
    <t>Shao, Shao, Pi / ESWA 214 (2023)</t>
  </si>
  <si>
    <t>위치 변수 + big-M</t>
  </si>
  <si>
    <t>makespan</t>
  </si>
  <si>
    <t>다단계 lot-sizing + job shop</t>
  </si>
  <si>
    <t>Rohaninejad, Hanzálek / IJPE 263 (2023)</t>
  </si>
  <si>
    <t>기간 + 연속시간 혼합</t>
  </si>
  <si>
    <t>분산 flow shop + 공장 간 운송 + 속도</t>
  </si>
  <si>
    <t>Hilarius, Buscher, Becker / IJPR (2026)</t>
  </si>
  <si>
    <t>지연·운송·속도</t>
  </si>
  <si>
    <t>다지점 생산 + 운송 제약</t>
  </si>
  <si>
    <t>H'Mida, Lopez / IJCIM 26(3) (2013)</t>
  </si>
  <si>
    <t>CP (MILP 없음)</t>
  </si>
  <si>
    <t>네트워크 구성 분산 생산</t>
  </si>
  <si>
    <t>Ziadlou, Emami, Asadi-Gangraj / CIE 188 (2024)</t>
  </si>
  <si>
    <t>makespan + 운송비</t>
  </si>
  <si>
    <t>환적 허용 pickup &amp; delivery</t>
  </si>
  <si>
    <t>Avgerinos et al. / arXiv:2505.02158 (2025)</t>
  </si>
  <si>
    <t>거리</t>
  </si>
  <si>
    <t>2공장 공정산업 생산 + 운송</t>
  </si>
  <si>
    <t>de Matta, Miller / EJOR 158 (2004)</t>
  </si>
  <si>
    <t>3단계 조립 job shop + 묶음 이송</t>
  </si>
  <si>
    <t>Cheng, Tang, Zhang / EAAI 130 (2024)</t>
  </si>
  <si>
    <t>완료시간 합 + 비용</t>
  </si>
  <si>
    <t>분산 flow shop + 공장 간 운송</t>
  </si>
  <si>
    <t>Becker, Neufeld, Buscher / EJOR 322 (2025)</t>
  </si>
  <si>
    <t>다단계 공급망 생산 + 분배</t>
  </si>
  <si>
    <t>Cóccola et al. / C&amp;CE 57 (2013)</t>
  </si>
  <si>
    <t>★</t>
  </si>
  <si>
    <t>다공장 생산·운송 MILP</t>
  </si>
  <si>
    <t>main_single_stage_gp.py</t>
  </si>
  <si>
    <t>이산 시간 MILP</t>
  </si>
  <si>
    <t>makespan + 재고 + 트럭</t>
  </si>
  <si>
    <t>● 보유 논문 수 (21편 중)</t>
  </si>
  <si>
    <t>◐ 부분 보유 논문 수</t>
  </si>
  <si>
    <t>논문별 우리 모델의 차별점 (카테고리 A~F)</t>
  </si>
  <si>
    <t>'–' = 해당 카테고리에서 내세울 차별점이 없거나 동등함</t>
  </si>
  <si>
    <t>원제목</t>
  </si>
  <si>
    <t>A 공장 구조</t>
  </si>
  <si>
    <t>B 제품 구조(BOM)</t>
  </si>
  <si>
    <t>C 로트·배치</t>
  </si>
  <si>
    <t>D 운송 자원</t>
  </si>
  <si>
    <t>E 목적함수·비용</t>
  </si>
  <si>
    <t>F 모델링</t>
  </si>
  <si>
    <t>논문이 앞선 점</t>
  </si>
  <si>
    <t>비고</t>
  </si>
  <si>
    <t>Integrated multi-factory production scheduling and vehicle routing with factory eligibility</t>
  </si>
  <si>
    <t>주문을 공장 하나에 통째로 배정하는 대신, 같은 품목을 여러 공장이 수량을 나눠 생산</t>
  </si>
  <si>
    <t>BOM 없음 → 우리는 하위 부품·상위 조립이 다른 공장에 있어 공장 간 반제품 운송 발생 (논문은 공장→고객 배송뿐)</t>
  </si>
  <si>
    <t>논문은 고객 단위 적재 → 우리는 허용 로트 크기 집합에서 선택 출하</t>
  </si>
  <si>
    <t>논문은 차량 무한·출발 공장 귀환 → 우리는 트럭 대수 제한, 초기 배치, 빈 차 재배치, 환적</t>
  </si>
  <si>
    <t>공장 재고·운송 중 재고비용, makespan 목적</t>
  </si>
  <si>
    <t>공장 내부 HFS, time window·지연, 메타휴리스틱, 대규모 실험</t>
  </si>
  <si>
    <t>우리 모델과 가장 가까운 논문</t>
  </si>
  <si>
    <t>Modelling and optimization of distributed assembly hybrid flowshop scheduling problem with transportation resource scheduling</t>
  </si>
  <si>
    <t>생산 가능 품목 제한 + 같은 품목 분할 생산 (논문은 job을 공장 하나에 배정)</t>
  </si>
  <si>
    <t>2단계(부품→조립) 대신 다단계 BOM, 같은 공장 부품은 운송 없이 바로 사용</t>
  </si>
  <si>
    <t>논문은 1개씩 운반 → 우리는 로트 단위 출하</t>
  </si>
  <si>
    <t>논문은 조립 공장 중심 왕복 → 우리는 임의 공장 간 트럭 흐름, 다중 경유, 환적, 초기 배치</t>
  </si>
  <si>
    <t>재고비용, 트럭 수·주행시간 목적</t>
  </si>
  <si>
    <t>차종이 다른 차량, 에너지 목적, Pareto 분석</t>
  </si>
  <si>
    <t>Future work 'batch transportation'을 직접 다룸</t>
  </si>
  <si>
    <t>Modelling and optimization of distributed heterogeneous hybrid flow shop lot-streaming scheduling problem</t>
  </si>
  <si>
    <t>공장별 생산 가능 품목 제한</t>
  </si>
  <si>
    <t>다단계 BOM과 재고 균형</t>
  </si>
  <si>
    <t>논문 sublot은 공장 내부 공정 사이에서만 이동 → 우리는 공장 간 로트 이동</t>
  </si>
  <si>
    <t>논문은 운송 없음 → 우리는 트럭 운송 전체</t>
  </si>
  <si>
    <t>재고비용, 트럭 목적</t>
  </si>
  <si>
    <t>셋업, 기계 속도 차이, 대규모 휴리스틱</t>
  </si>
  <si>
    <t>Multi-objective distributed flow shop scheduling with inter-factory transportation and variable production speed</t>
  </si>
  <si>
    <t>논문은 동일 공장 → 우리는 공장마다 다르고 생산 가능 품목 제한</t>
  </si>
  <si>
    <t>다단계 BOM</t>
  </si>
  <si>
    <t>논문은 job 단위 이동 → 우리는 로트 단위 출하</t>
  </si>
  <si>
    <t>논문은 운송 자원 무한 + 이동시간 고정 → 우리는 트럭 대수 제한, 트럭 흐름, 용량, 환적</t>
  </si>
  <si>
    <t>makespan 중심 + 운송 결정 (논문 future work), 재고비용</t>
  </si>
  <si>
    <t>공정 단계마다 공장 이동 가능, 가변 속도, 3목적 Pareto</t>
  </si>
  <si>
    <t>Network configuration distributed production scheduling problem: A constraint programming approach</t>
  </si>
  <si>
    <t>논문은 같은 단계 공장 구성이 동일 → 우리는 공장별 처리시간 차이 + 같은 품목 분할 생산</t>
  </si>
  <si>
    <t>논문은 1단계→2단계 직렬 흐름 → 우리는 다단계 BOM과 부품 공유</t>
  </si>
  <si>
    <t>로트 출하</t>
  </si>
  <si>
    <t>논문은 운송비만 있고 운송시간·차량 없음, 정방향 흐름만 → 우리는 임의 방향 트럭 운송</t>
  </si>
  <si>
    <t>공장 내부 HFS/FJS, Pareto 분석, 180개 인스턴스</t>
  </si>
  <si>
    <t>The distributed flow shop scheduling problem with inter-factory transportation</t>
  </si>
  <si>
    <t>논문은 동일 공장 → 우리는 공장 이질 + 생산 가능 품목 제한</t>
  </si>
  <si>
    <t>다단계 BOM과 조립</t>
  </si>
  <si>
    <t>논문은 이동시간 행렬만, 자원 제약 없음 → 우리는 유한 트럭, 용량, 환적, 빈 차 이동</t>
  </si>
  <si>
    <t>트럭 수·주행시간 목적, 재고비용 (논문 future work '운송 횟수 최소화')</t>
  </si>
  <si>
    <t>공정 단계마다 공장 이동, 1,460개 벤치마크, 고성능 휴리스틱</t>
  </si>
  <si>
    <t>A hybrid multi-level ant colony optimization framework for integrated production scheduling and vehicle routing</t>
  </si>
  <si>
    <t>논문은 단일 공장 → 우리는 다공장</t>
  </si>
  <si>
    <t>논문은 BOM 없음 → 우리는 다단계 BOM</t>
  </si>
  <si>
    <t>논문은 차량당 1회 운행, 출발지 고정, 공장→고객 배송 → 우리는 초기 배치, 빈 차 재배치, 재사용, 환적, 공장↔공장 물류</t>
  </si>
  <si>
    <t>재고비용, makespan, 트럭 수 목적</t>
  </si>
  <si>
    <t>time window, 출발시각 최적화, 메타휴리스틱</t>
  </si>
  <si>
    <t>Integrated scheduling of production and material delivery for the intelligent manufacturing system</t>
  </si>
  <si>
    <t>논문은 공장 하나 안의 라인 문제 → 우리는 다공장 네트워크</t>
  </si>
  <si>
    <t>BOM과 조립 소비</t>
  </si>
  <si>
    <t>논문은 배송 배치 수가 미리 정해진 값 → 우리는 허용 집합에서 로트 선택</t>
  </si>
  <si>
    <t>논문은 창고↔작업장 왕복 → 우리는 다중 경유, 환적, 빈 차 재배치, 초기 배치</t>
  </si>
  <si>
    <t>재고비용 (차량 수 최소화는 논문에도 있음: AGV 수)</t>
  </si>
  <si>
    <t>실제 데이터, 지연 목적, 금형 교체, bi-level 휴리스틱</t>
  </si>
  <si>
    <t>MILP Modeling and Optimization of Multi-Objective Three-Stage Flexible Job Shop Scheduling Problem With Assembly and AGV Transportation</t>
  </si>
  <si>
    <t>논문은 가공동→조립동 경로 하나 → 우리는 여러 공장 간 임의 네트워크</t>
  </si>
  <si>
    <t>논문은 1단계 조립 → 우리는 다단계 BOM + 같은 품목 분할 생산</t>
  </si>
  <si>
    <t>논문은 왕복 시간 고정 → 우리는 다중 경유, 환적, 초기 배치</t>
  </si>
  <si>
    <t>논문은 AGV 대수 고정 → 우리는 트럭 수 최소화, 재고비용</t>
  </si>
  <si>
    <t>기계 선택 유연성, 에너지 목적, Pareto(ε-constraint)</t>
  </si>
  <si>
    <t>Future work 'distributed FJSP-T-A' 방향에 해당</t>
  </si>
  <si>
    <t>MILP model for simultaneous batching, production and distribution operations in single-stage multiproduct batch plants</t>
  </si>
  <si>
    <t>논문은 단일 plant → 우리는 다공장 + 같은 품목 분할 생산</t>
  </si>
  <si>
    <t>논문은 출발지 하나, 차량당 1회, 공장→고객 배송 → 우리는 공장 간 운송, 환적, 빈 차 재배치, 재사용</t>
  </si>
  <si>
    <t>재고·운송 중 재고비용, makespan 목적</t>
  </si>
  <si>
    <t>둘 다 단일 MILP 정확해. 논문은 연속시간 time-slot, 우리는 시점별 재고·트럭 위치 추적</t>
  </si>
  <si>
    <t>batch 크기 연속 결정, 차종이 다른 차량, 최소 적재율, time window</t>
  </si>
  <si>
    <t>Multi-site scheduling under production and transportation constraints</t>
  </si>
  <si>
    <t>논문은 공정별 생산 지점 고정 → 우리는 생산 가능 공장 선택 + 같은 품목 분할 생산</t>
  </si>
  <si>
    <t>논문은 전량 도착 후 생산 시작 → 우리는 로트 단위 부분 출하, 도착분부터 사용</t>
  </si>
  <si>
    <t>논문은 왕복 가정, 트럭 위치 없음 → 우리는 위치 추적, 빈 차 재배치, 초기 배치, 환적</t>
  </si>
  <si>
    <t>논문은 CP 모델·사례 1건 → 우리는 MILP 정식화</t>
  </si>
  <si>
    <t>malleable operation, 트레일러·트랙터 2종 운송 자원</t>
  </si>
  <si>
    <t>Toward integrated production and distribution management in multi-echelon supply chains</t>
  </si>
  <si>
    <t>논문은 완제품 분배만 → 우리는 다단계 BOM에 따른 공장 간 반제품 흐름</t>
  </si>
  <si>
    <t>논문은 batch 크기 연속 → 우리는 허용 로트 크기 집합</t>
  </si>
  <si>
    <t>논문은 차량 출발지 고정, 출발지에서만 적재 → 우리는 초기 배치, 빈 차 재배치, 여러 번 운행, 경유지 적재</t>
  </si>
  <si>
    <t>논문은 재고비용 없음 → 우리는 공장·운송 중 재고비용, makespan</t>
  </si>
  <si>
    <t>차종이 다른 차량, 무게·부피 용량, time window, 셋업, 연속시간</t>
  </si>
  <si>
    <t>주의: 환적(cross-dock)·차량 경로 자체는 논문에도 있음 → 결합으로 차별화</t>
  </si>
  <si>
    <t>A constraint programming approach for resource-constrained flexible assembly flow shop scheduling problem with batch direct delivery</t>
  </si>
  <si>
    <t>논문은 단일 공장 → 우리는 다공장, 생산 가능 품목 제한, 같은 품목 분할 생산</t>
  </si>
  <si>
    <t>논문은 부품이 특정 제품에 묶여 공유 불가 → 우리는 재고로 관리해 여러 상위 제품이 공유</t>
  </si>
  <si>
    <t>논문은 단계 간 이동시간 무시, 차량 무제한 직배송 → 우리는 공장 간 트럭 운송 전체</t>
  </si>
  <si>
    <t>논문은 완제품 대기 재고만 → 우리는 WIP·운송 중 재고비용</t>
  </si>
  <si>
    <t>병렬기계, 셋업, 금형 보조 자원, 납기, 실제 데이터</t>
  </si>
  <si>
    <t>Future work 'allow sharing across multiple products'를 직접 다룸</t>
  </si>
  <si>
    <t>Cost models for lot streaming in a multistage flow shop</t>
  </si>
  <si>
    <t>논문은 단일 공장·단일 제품 → 우리는 다공장</t>
  </si>
  <si>
    <t>논문은 같은 크기 sublot만 → 우리는 공장·품목별 서로 다른 허용 로트 집합</t>
  </si>
  <si>
    <t>논문은 운반 수단 무제한, 이동시간 무시 → 우리는 트럭 대수 제한, 이동시간, 경로</t>
  </si>
  <si>
    <t>운송 중 재고비용 (논문은 이동시간 0이라 없음)</t>
  </si>
  <si>
    <t>논문은 무한 기간 해석 모델 → 우리는 유한 기간 상세 일정</t>
  </si>
  <si>
    <t>로트 크기·sublot 수 최적화, 볼록성 증명과 해석해</t>
  </si>
  <si>
    <t>Lot streaming in a two-stage assembly system</t>
  </si>
  <si>
    <t>논문은 부품마다 공급처 하나 고정 → 우리는 여러 공장 대체 생산</t>
  </si>
  <si>
    <t>논문은 2단계 조립 → 우리는 다단계 BOM</t>
  </si>
  <si>
    <t>논문은 같은 크기·연속 sublot → 우리는 이산 로트 크기 집합</t>
  </si>
  <si>
    <t>논문은 sublot당 고정 이송시간만 → 우리는 트럭 대수, 경로, 환적</t>
  </si>
  <si>
    <t>운송 중 재고비용</t>
  </si>
  <si>
    <t>sublot 크기 직접 최적화, 셋업, 지연, column generation</t>
  </si>
  <si>
    <t>Future work 'multiple stages'를 직접 다룸</t>
  </si>
  <si>
    <t>Mathematical model and adaptive simulated annealing algorithm for mixed-model assembly job-shop scheduling with lot streaming</t>
  </si>
  <si>
    <t>논문은 단일 공장 → 우리는 다공장 + 같은 품목 분할 생산</t>
  </si>
  <si>
    <t>논문은 1단계 조립 → 우리는 다단계 BOM</t>
  </si>
  <si>
    <t>논문은 공장 내부 sublot → 우리는 공장 간 로트 출하</t>
  </si>
  <si>
    <t>논문은 운송시간 무시 → 우리는 공장 간 운송시간과 트럭 운송 전체</t>
  </si>
  <si>
    <t>논문은 WIP를 future work로만 언급 → 우리는 WIP·운송 중 재고비용</t>
  </si>
  <si>
    <t>sublot 분할과 혼합 처리, 셋업, 학습 기반 SA</t>
  </si>
  <si>
    <t>Future work 'transportation time', 'WIP'를 직접 다룸</t>
  </si>
  <si>
    <t>Multi-level lot-sizing and job shop scheduling with lot-streaming: Reformulation and solution approaches</t>
  </si>
  <si>
    <t>다단계 BOM 자체는 같음. 차이: 자식 부품과 부모 조립이 다른 공장에 있을 수 있음</t>
  </si>
  <si>
    <t>논문은 로트 크기 연속 → 우리는 이산 로트 크기 집합</t>
  </si>
  <si>
    <t>논문은 'no lead time (transportation)' 가정 → 우리는 공장 간 운송시간과 트럭 운송 전체</t>
  </si>
  <si>
    <t>운송 중 재고비용, 트럭 목적</t>
  </si>
  <si>
    <t>기간별 lot-sizing, 셋업, MIP 분해·fix-and-optimize</t>
  </si>
  <si>
    <t>21편 중 다단계 BOM을 가진 유일한 논문</t>
  </si>
  <si>
    <t>Production costs and total completion time minimization for three-stage mixed-model assembly job shop scheduling with lot streaming and batch transfer</t>
  </si>
  <si>
    <t>논문은 단일 공장 → 우리는 다공장, 공장별 처리시간, 같은 품목 분할 생산</t>
  </si>
  <si>
    <t>논문은 운반 장치 충분 가정, 이송시간 고정 → 우리는 트럭 대수 제한, 경로, 빈 차 이동, 초기 배치</t>
  </si>
  <si>
    <t>운송 중 재고비용, makespan, 트럭 수 목적</t>
  </si>
  <si>
    <t>논문은 MILP 정식화만 하고 메타휴리스틱으로 풂 → 우리는 Gurobi로 정확해</t>
  </si>
  <si>
    <t>sublot 최적화, 여러 제품 부품 혼적 묶음 이송, 셋업</t>
  </si>
  <si>
    <t>Future work '운반 장치 작업 할당'을 직접 다룸</t>
  </si>
  <si>
    <t>A Lagrangean-based heuristic for multi-plant, multi-item, multi-period capacitated lot-sizing problems with inter-plant transfers</t>
  </si>
  <si>
    <t>논문은 이송량 연속 → 우리는 이산 로트 크기 출하</t>
  </si>
  <si>
    <t>논문은 이송 시간·차량 없음 → 우리는 운송시간, 트럭 흐름, 환적</t>
  </si>
  <si>
    <t>운송 중 재고비용, makespan 목적</t>
  </si>
  <si>
    <t>논문은 기간 단위 계획 → 우리는 생산 job 단위 일정</t>
  </si>
  <si>
    <t>셋업과 생산비, 다기간 수요, Lagrangean 하한</t>
  </si>
  <si>
    <t>Production and inter-facility transportation scheduling for a process industry</t>
  </si>
  <si>
    <t>논문은 2공장 직렬, 라인 고정 → 우리는 다공장 + 같은 품목 대체 생산</t>
  </si>
  <si>
    <t>논문은 2단계 → 우리는 다단계 BOM, 임의 방향 공장 간 흐름</t>
  </si>
  <si>
    <t>이산 로트 크기 출하</t>
  </si>
  <si>
    <t>논문은 운송 용량 무제한, 차량 없음 → 우리는 유한 트럭, 경로, 환적</t>
  </si>
  <si>
    <t>논문은 운송 중 재고를 운송 단가에 포함 → 우리는 시점별 명시 계산, makespan 목적</t>
  </si>
  <si>
    <t>논문은 주 단위 계획 → 우리는 상세 일정</t>
  </si>
  <si>
    <t>운송 수단 선택(빠름·비쌈 vs 느림·쌈), 셋업·품목 전환, 실제 기업 데이터</t>
  </si>
  <si>
    <t>Future work 'line selection / sourcing decision'을 직접 다룸</t>
  </si>
  <si>
    <t>Pickup &amp; Delivery with Time Windows and Transfers, combining decomposition with metaheuristics</t>
  </si>
  <si>
    <t>화물 출발 공장 선택(대체 공급원)이 결정 대상</t>
  </si>
  <si>
    <t>논문은 생산 없는 순수 운송 → 우리는 생산 결정이 화물의 시점·장소·양을 정함</t>
  </si>
  <si>
    <t>이산 로트 크기 선택</t>
  </si>
  <si>
    <t>논문은 차량 출발지가 주어진 값 → 우리는 초기 배치, 사용 트럭 수 최소화</t>
  </si>
  <si>
    <t>재고비용, makespan 목적</t>
  </si>
  <si>
    <t>환적 동기화, time window, 분해 해법, 요청 100개 규모</t>
  </si>
  <si>
    <t>환적 자체는 논문이 더 정교</t>
  </si>
  <si>
    <t>카테고리별 최종 요약</t>
  </si>
  <si>
    <t>강한 차별점 (21편 모두 없음)</t>
  </si>
  <si>
    <t>차별점 주장 시 주의할 논문</t>
  </si>
  <si>
    <t>다단계 BOM과 결합된 같은 품목 분할 생산</t>
  </si>
  <si>
    <t>[03], [21] (같은 제품을 여러 공장에서 생산 가능)</t>
  </si>
  <si>
    <t>B 제품 구조</t>
  </si>
  <si>
    <t>다단계 BOM에 따른 공장 간 반제품 흐름</t>
  </si>
  <si>
    <t>[13] (다단계 BOM, 단일 공장), [18] (2단계 BOM, 2공장)</t>
  </si>
  <si>
    <t>공장·품목별 허용 로트 크기 집합에서 골라 출하</t>
  </si>
  <si>
    <t>트럭 초기 배치 결정 + 빈 차 재배치 + 재사용</t>
  </si>
  <si>
    <t>[17], [21] (환적·경로 자체는 이 두 논문이 더 정교함)</t>
  </si>
  <si>
    <t>E 목적·비용</t>
  </si>
  <si>
    <t>운송 중·경유지 대기 화물의 재고비용을 명시적으로 계산</t>
  </si>
  <si>
    <t>[18] (운송 단가에 암묵적으로 포함), [06] (AGV 수 최소화)</t>
  </si>
  <si>
    <t>생산·재고·트럭 위치·화물 흐름을 하나의 이산 시간축으로 결합한 단일 MILP</t>
  </si>
  <si>
    <t>[09], [18], [21] (단일 MILP 정확해 자체는 같음)</t>
  </si>
  <si>
    <t>포지셔닝 문장 예시</t>
  </si>
  <si>
    <t>기존 연구는 (i) 분산·다공장 스케줄링에서 운송을 시간 지연이나 무제한 자원으로 단순화하거나 [14, 16, 20], (ii) 차량 경로를 다루더라도 완제품을 고객에게 보내는 배송에 한정하거나 [02, 05, 09, 21], (iii) 다단계 BOM과 lot streaming을 공장 하나 안에서만 다뤘다 [07, 10, 13, 19]. 본 연구는 다단계 BOM에 따라 생기는 공장 간 반제품 흐름을, 허용 로트 크기 단위 출하와 트럭 초기 배치·빈 차 재배치·환적을 포함한 유한 트럭 운송 모델로 통합하고, makespan 아래에서 공장 재고와 운송 중 재고비용, 트럭 사용량을 함께 최소화한다.</t>
  </si>
  <si>
    <t>논문이 future work·한계로 남긴 것 중 우리 모델이 다루는 것</t>
  </si>
  <si>
    <t>원문 근거</t>
  </si>
  <si>
    <t>구분</t>
  </si>
  <si>
    <t>우리 모델의 대응</t>
  </si>
  <si>
    <t>"future studies could relax this constraint to allow sharing across multiple products"</t>
  </si>
  <si>
    <t>Future work</t>
  </si>
  <si>
    <t>공유 부품(JT5 → JT9·JT12)을 재고로 관리</t>
  </si>
  <si>
    <t>"further development for multiple stages"</t>
  </si>
  <si>
    <t>"transportation time ... can be considered", WIP를 성과 지표로</t>
  </si>
  <si>
    <t>공장 간 운송시간 + WIP 재고비용</t>
  </si>
  <si>
    <t>D, E</t>
  </si>
  <si>
    <t>"DAHFSP with batch transportation"</t>
  </si>
  <si>
    <t>로트 단위 출하 + 트럭 용량</t>
  </si>
  <si>
    <t>C, D</t>
  </si>
  <si>
    <t>lot streaming 한계: "operations located some distance apart", "transportation costs"</t>
  </si>
  <si>
    <t>한계(관리적 시사점)</t>
  </si>
  <si>
    <t>거리가 있는 공장 간 이송 + 트럭 비용</t>
  </si>
  <si>
    <t>"explore these trade-offs in a makespan-oriented context"</t>
  </si>
  <si>
    <t>makespan 우선 + 운송 결정</t>
  </si>
  <si>
    <t>"the selection of a production line ... is a decision variable", "sourcing decision"</t>
  </si>
  <si>
    <t>같은 품목의 여러 공장 대체 생산</t>
  </si>
  <si>
    <t>"task allocation of transport devices needs to be considered" (운반 장치 수 제한)</t>
  </si>
  <si>
    <t>트럭 대수 제한 + 트럭별 경로</t>
  </si>
  <si>
    <t>"minimizing the number of transports", 운송 능력 확장 필요</t>
  </si>
  <si>
    <t>트럭 수·주행시간 목적, 트럭 용량</t>
  </si>
  <si>
    <t>"instantaneous delivery ... or an unlimited number of available vehicles" (기존 연구 비판)</t>
  </si>
  <si>
    <t>서론</t>
  </si>
  <si>
    <t>유한 트럭 + 위치 추적</t>
  </si>
  <si>
    <t>"assume either an instantaneous delivery of goods or an unlimited number of available vehicles"</t>
  </si>
  <si>
    <t>유한 트럭 + 위치 추적 (논문 자체도 일부 해결)</t>
  </si>
  <si>
    <t>"distributed FJSP-T-A"</t>
  </si>
  <si>
    <t>다공장 + 공장 간 운송 구조 (단, 기계 수준 라우팅은 없음)</t>
  </si>
  <si>
    <t>A, D</t>
  </si>
  <si>
    <t>약점</t>
  </si>
  <si>
    <t>이 점에서 앞선 논문</t>
  </si>
  <si>
    <t>보완 방향(제안)</t>
  </si>
  <si>
    <t>실험 규모가 작고, 휴리스틱·분해 해법이 없음</t>
  </si>
  <si>
    <t>대부분 (대규모 인스턴스, 메타휴리스틱)</t>
  </si>
  <si>
    <t>인스턴스 규모별 풀이 시간·gap 표 제시, 분해/휴리스틱은 향후 과제로 명시</t>
  </si>
  <si>
    <t>셋업 시간·비용 없음</t>
  </si>
  <si>
    <t>01, 07, 10, 12, 13, 18, 19, 21</t>
  </si>
  <si>
    <t>가정으로 명시하거나 품목 전환 셋업 추가 검토</t>
  </si>
  <si>
    <t>납기, 지연, time window 없음</t>
  </si>
  <si>
    <t>01, 02, 05, 06, 09, 14, 17, 21</t>
  </si>
  <si>
    <t>makespan 목적의 근거 설명</t>
  </si>
  <si>
    <t>공장 내부가 (공장, 품목)별 단일 라인 → 병렬기계·HFS 같은 기계 선택 없음</t>
  </si>
  <si>
    <t>01, 05, 11, 12, 16</t>
  </si>
  <si>
    <t>전용 라인 가정의 현실 근거 제시</t>
  </si>
  <si>
    <t>트럭이 모두 같은 종류</t>
  </si>
  <si>
    <t>09, 11, 21</t>
  </si>
  <si>
    <t>가정으로 명시</t>
  </si>
  <si>
    <t>가중합 목적 → Pareto 분석 없음</t>
  </si>
  <si>
    <t>08, 11, 14, 16</t>
  </si>
  <si>
    <t>가중치 민감도 분석 추가</t>
  </si>
  <si>
    <t>시간 이산화 오차, 규모 확장 어려움 (se_event·cargo 변수 수 증가)</t>
  </si>
  <si>
    <t>17, 21 (연속시간)</t>
  </si>
  <si>
    <t>set_horizon 휴리스틱이 변수 수를 얼마나 줄이는지 실험으로 제시</t>
  </si>
  <si>
    <t>로트 크기를 최적화하지 않고 주어진 집합에서 선택만 함</t>
  </si>
  <si>
    <t>04, 07, 12, 19</t>
  </si>
  <si>
    <t>허용 로트 집합을 현장 제약(용기·팔레트 단위)으로 정당화</t>
  </si>
  <si>
    <t>truck_capacity 기본값 None → 용량 사실상 무제한 (main_single_stage_gp.py:110)</t>
  </si>
  <si>
    <t>트럭 용량을 차별점으로 주장하려면 실험에서 값 설정 필수</t>
  </si>
  <si>
    <t>재고비용을 makespan 시점까지만 계산 (main_single_stage_gp.py:148)</t>
  </si>
  <si>
    <t>논문에 가정으로 명시</t>
  </si>
  <si>
    <r>
      <rPr>
        <i/>
        <sz val="9"/>
        <color rgb="FF595959"/>
        <rFont val="Segoe UI Symbol"/>
        <family val="2"/>
      </rPr>
      <t>●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맑은 고딕"/>
        <family val="3"/>
        <charset val="129"/>
      </rPr>
      <t>있음</t>
    </r>
    <r>
      <rPr>
        <i/>
        <sz val="9"/>
        <color rgb="FF595959"/>
        <rFont val="Arial"/>
        <family val="2"/>
      </rPr>
      <t xml:space="preserve"> / </t>
    </r>
    <r>
      <rPr>
        <i/>
        <sz val="9"/>
        <color rgb="FF595959"/>
        <rFont val="Segoe UI Symbol"/>
        <family val="1"/>
      </rPr>
      <t>◐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맑은 고딕"/>
        <family val="3"/>
        <charset val="129"/>
      </rPr>
      <t>부분적으로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맑은 고딕"/>
        <family val="3"/>
        <charset val="129"/>
      </rPr>
      <t>있음</t>
    </r>
    <r>
      <rPr>
        <i/>
        <sz val="9"/>
        <color rgb="FF595959"/>
        <rFont val="Arial"/>
        <family val="2"/>
      </rPr>
      <t xml:space="preserve"> / – </t>
    </r>
    <r>
      <rPr>
        <i/>
        <sz val="9"/>
        <color rgb="FF595959"/>
        <rFont val="맑은 고딕"/>
        <family val="3"/>
        <charset val="129"/>
      </rPr>
      <t>없음</t>
    </r>
    <phoneticPr fontId="8" type="noConversion"/>
  </si>
  <si>
    <r>
      <rPr>
        <sz val="10"/>
        <rFont val="맑은 고딕"/>
        <family val="3"/>
        <charset val="129"/>
      </rPr>
      <t>연속시간</t>
    </r>
    <r>
      <rPr>
        <sz val="10"/>
        <rFont val="Arial"/>
        <family val="2"/>
      </rPr>
      <t xml:space="preserve"> big-M </t>
    </r>
    <r>
      <rPr>
        <sz val="10"/>
        <rFont val="맑은 고딕"/>
        <family val="3"/>
        <charset val="129"/>
      </rPr>
      <t>대신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트럭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위치</t>
    </r>
    <r>
      <rPr>
        <sz val="10"/>
        <rFont val="Arial"/>
        <family val="2"/>
      </rPr>
      <t>·</t>
    </r>
    <r>
      <rPr>
        <sz val="10"/>
        <rFont val="맑은 고딕"/>
        <family val="3"/>
        <charset val="129"/>
      </rPr>
      <t>재고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추적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</si>
</sst>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8"/>
      <name val="맑은 고딕"/>
      <family val="3"/>
      <charset val="129"/>
      <scheme val="minor"/>
    </font>
    <font>
      <i/>
      <sz val="9"/>
      <color rgb="FF595959"/>
      <name val="맑은 고딕"/>
      <family val="3"/>
      <charset val="129"/>
    </font>
    <font>
      <i/>
      <sz val="9"/>
      <color rgb="FF595959"/>
      <name val="Segoe UI Symbol"/>
      <family val="2"/>
    </font>
    <font>
      <i/>
      <sz val="9"/>
      <color rgb="FF595959"/>
      <name val="Segoe UI Symbol"/>
      <family val="1"/>
    </font>
    <font>
      <sz val="10"/>
      <name val="맑은 고딕"/>
      <family val="3"/>
      <charset val="129"/>
    </font>
    <font>
      <sz val="10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3" borderId="1" xfId="0" applyFont="1" applyFill="1" applyBorder="1" applyAlignment="1">
      <alignment vertical="top" wrapText="1"/>
    </xf>
  </cellXfs>
  <cellStyles count="1">
    <cellStyle name="표준" xfId="0" builtinId="0"/>
  </cellStyles>
  <dxfs count="2"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opLeftCell="A6" workbookViewId="0">
      <selection sqref="A1:C1"/>
    </sheetView>
  </sheetViews>
  <sheetFormatPr defaultRowHeight="16.899999999999999" x14ac:dyDescent="0.6"/>
  <cols>
    <col min="1" max="1" width="8" customWidth="1"/>
    <col min="2" max="2" width="22" customWidth="1"/>
    <col min="3" max="3" width="100" customWidth="1"/>
  </cols>
  <sheetData>
    <row r="1" spans="1:3" ht="18.399999999999999" x14ac:dyDescent="0.6">
      <c r="A1" s="15" t="s">
        <v>0</v>
      </c>
      <c r="B1" s="15"/>
      <c r="C1" s="15"/>
    </row>
    <row r="3" spans="1:3" x14ac:dyDescent="0.6">
      <c r="A3" s="2" t="s">
        <v>1</v>
      </c>
      <c r="B3" s="2" t="s">
        <v>2</v>
      </c>
      <c r="C3" s="2" t="s">
        <v>3</v>
      </c>
    </row>
    <row r="4" spans="1:3" x14ac:dyDescent="0.6">
      <c r="A4" s="3" t="s">
        <v>4</v>
      </c>
      <c r="B4" s="4" t="s">
        <v>5</v>
      </c>
      <c r="C4" s="4" t="s">
        <v>6</v>
      </c>
    </row>
    <row r="5" spans="1:3" x14ac:dyDescent="0.6">
      <c r="A5" s="3" t="s">
        <v>7</v>
      </c>
      <c r="B5" s="4" t="s">
        <v>8</v>
      </c>
      <c r="C5" s="4" t="s">
        <v>9</v>
      </c>
    </row>
    <row r="6" spans="1:3" x14ac:dyDescent="0.6">
      <c r="A6" s="3" t="s">
        <v>10</v>
      </c>
      <c r="B6" s="4" t="s">
        <v>11</v>
      </c>
      <c r="C6" s="4" t="s">
        <v>12</v>
      </c>
    </row>
    <row r="7" spans="1:3" x14ac:dyDescent="0.6">
      <c r="A7" s="3" t="s">
        <v>13</v>
      </c>
      <c r="B7" s="4" t="s">
        <v>14</v>
      </c>
      <c r="C7" s="4" t="s">
        <v>15</v>
      </c>
    </row>
    <row r="8" spans="1:3" x14ac:dyDescent="0.6">
      <c r="A8" s="3" t="s">
        <v>16</v>
      </c>
      <c r="B8" s="4" t="s">
        <v>17</v>
      </c>
      <c r="C8" s="4" t="s">
        <v>18</v>
      </c>
    </row>
    <row r="9" spans="1:3" x14ac:dyDescent="0.6">
      <c r="A9" s="3" t="s">
        <v>19</v>
      </c>
      <c r="B9" s="4" t="s">
        <v>20</v>
      </c>
      <c r="C9" s="4" t="s">
        <v>21</v>
      </c>
    </row>
    <row r="11" spans="1:3" x14ac:dyDescent="0.6">
      <c r="A11" s="5" t="s">
        <v>26</v>
      </c>
    </row>
    <row r="12" spans="1:3" x14ac:dyDescent="0.6">
      <c r="B12" s="5" t="s">
        <v>27</v>
      </c>
      <c r="C12" s="6" t="s">
        <v>28</v>
      </c>
    </row>
    <row r="13" spans="1:3" x14ac:dyDescent="0.6">
      <c r="B13" s="5" t="s">
        <v>29</v>
      </c>
      <c r="C13" s="6" t="s">
        <v>30</v>
      </c>
    </row>
    <row r="14" spans="1:3" x14ac:dyDescent="0.6">
      <c r="B14" s="5" t="s">
        <v>31</v>
      </c>
      <c r="C14" s="6" t="s">
        <v>32</v>
      </c>
    </row>
    <row r="15" spans="1:3" x14ac:dyDescent="0.6">
      <c r="B15" s="5" t="s">
        <v>33</v>
      </c>
      <c r="C15" s="6" t="s">
        <v>34</v>
      </c>
    </row>
    <row r="16" spans="1:3" x14ac:dyDescent="0.6">
      <c r="B16" s="5" t="s">
        <v>35</v>
      </c>
      <c r="C16" s="6" t="s">
        <v>36</v>
      </c>
    </row>
  </sheetData>
  <mergeCells count="1">
    <mergeCell ref="A1:C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showGridLines="0" zoomScale="70" zoomScaleNormal="70" workbookViewId="0">
      <pane xSplit="3" ySplit="4" topLeftCell="D16" activePane="bottomRight" state="frozen"/>
      <selection pane="topRight"/>
      <selection pane="bottomLeft"/>
      <selection pane="bottomRight" sqref="A1:C1"/>
    </sheetView>
  </sheetViews>
  <sheetFormatPr defaultRowHeight="16.899999999999999" x14ac:dyDescent="0.6"/>
  <cols>
    <col min="1" max="1" width="5" customWidth="1"/>
    <col min="2" max="2" width="18" customWidth="1"/>
    <col min="3" max="3" width="35.9375" customWidth="1"/>
    <col min="4" max="4" width="40.4375" customWidth="1"/>
    <col min="5" max="5" width="11" customWidth="1"/>
    <col min="6" max="6" width="9" customWidth="1"/>
    <col min="7" max="7" width="11" customWidth="1"/>
    <col min="8" max="8" width="9" customWidth="1"/>
    <col min="9" max="11" width="11" customWidth="1"/>
    <col min="12" max="12" width="10" customWidth="1"/>
    <col min="13" max="13" width="11" customWidth="1"/>
    <col min="14" max="15" width="22" customWidth="1"/>
  </cols>
  <sheetData>
    <row r="1" spans="1:15" ht="18.399999999999999" x14ac:dyDescent="0.6">
      <c r="A1" s="15" t="s">
        <v>27</v>
      </c>
      <c r="B1" s="15"/>
      <c r="C1" s="15"/>
    </row>
    <row r="2" spans="1:15" x14ac:dyDescent="0.6">
      <c r="A2" s="16" t="s">
        <v>368</v>
      </c>
      <c r="B2" s="16"/>
      <c r="C2" s="16"/>
    </row>
    <row r="4" spans="1:15" ht="42" customHeight="1" x14ac:dyDescent="0.6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</row>
    <row r="5" spans="1:15" x14ac:dyDescent="0.6">
      <c r="A5" s="3">
        <v>1</v>
      </c>
      <c r="B5" s="4" t="s">
        <v>52</v>
      </c>
      <c r="C5" s="4" t="s">
        <v>53</v>
      </c>
      <c r="D5" s="4" t="s">
        <v>54</v>
      </c>
      <c r="E5" s="3" t="s">
        <v>24</v>
      </c>
      <c r="F5" s="3" t="s">
        <v>22</v>
      </c>
      <c r="G5" s="3" t="s">
        <v>24</v>
      </c>
      <c r="H5" s="3" t="s">
        <v>23</v>
      </c>
      <c r="I5" s="3" t="s">
        <v>24</v>
      </c>
      <c r="J5" s="3" t="s">
        <v>24</v>
      </c>
      <c r="K5" s="3" t="s">
        <v>24</v>
      </c>
      <c r="L5" s="3" t="s">
        <v>23</v>
      </c>
      <c r="M5" s="3" t="s">
        <v>24</v>
      </c>
      <c r="N5" s="4" t="s">
        <v>55</v>
      </c>
      <c r="O5" s="4" t="s">
        <v>56</v>
      </c>
    </row>
    <row r="6" spans="1:15" x14ac:dyDescent="0.6">
      <c r="A6" s="3">
        <v>2</v>
      </c>
      <c r="B6" s="4" t="s">
        <v>57</v>
      </c>
      <c r="C6" s="4" t="s">
        <v>58</v>
      </c>
      <c r="D6" s="4" t="s">
        <v>59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22</v>
      </c>
      <c r="J6" s="3" t="s">
        <v>23</v>
      </c>
      <c r="K6" s="3" t="s">
        <v>24</v>
      </c>
      <c r="L6" s="3" t="s">
        <v>24</v>
      </c>
      <c r="M6" s="3" t="s">
        <v>24</v>
      </c>
      <c r="N6" s="4" t="s">
        <v>60</v>
      </c>
      <c r="O6" s="4" t="s">
        <v>61</v>
      </c>
    </row>
    <row r="7" spans="1:15" x14ac:dyDescent="0.6">
      <c r="A7" s="3">
        <v>3</v>
      </c>
      <c r="B7" s="4" t="s">
        <v>62</v>
      </c>
      <c r="C7" s="4" t="s">
        <v>63</v>
      </c>
      <c r="D7" s="4" t="s">
        <v>64</v>
      </c>
      <c r="E7" s="3" t="s">
        <v>22</v>
      </c>
      <c r="F7" s="3" t="s">
        <v>24</v>
      </c>
      <c r="G7" s="3" t="s">
        <v>23</v>
      </c>
      <c r="H7" s="3" t="s">
        <v>23</v>
      </c>
      <c r="I7" s="3" t="s">
        <v>24</v>
      </c>
      <c r="J7" s="3" t="s">
        <v>24</v>
      </c>
      <c r="K7" s="3" t="s">
        <v>24</v>
      </c>
      <c r="L7" s="3" t="s">
        <v>22</v>
      </c>
      <c r="M7" s="3" t="s">
        <v>24</v>
      </c>
      <c r="N7" s="4" t="s">
        <v>65</v>
      </c>
      <c r="O7" s="4" t="s">
        <v>66</v>
      </c>
    </row>
    <row r="8" spans="1:15" x14ac:dyDescent="0.6">
      <c r="A8" s="3">
        <v>4</v>
      </c>
      <c r="B8" s="4" t="s">
        <v>52</v>
      </c>
      <c r="C8" s="4" t="s">
        <v>67</v>
      </c>
      <c r="D8" s="4" t="s">
        <v>68</v>
      </c>
      <c r="E8" s="3" t="s">
        <v>24</v>
      </c>
      <c r="F8" s="3" t="s">
        <v>24</v>
      </c>
      <c r="G8" s="3" t="s">
        <v>24</v>
      </c>
      <c r="H8" s="3" t="s">
        <v>22</v>
      </c>
      <c r="I8" s="3" t="s">
        <v>24</v>
      </c>
      <c r="J8" s="3" t="s">
        <v>24</v>
      </c>
      <c r="K8" s="3" t="s">
        <v>24</v>
      </c>
      <c r="L8" s="3" t="s">
        <v>22</v>
      </c>
      <c r="M8" s="3" t="s">
        <v>24</v>
      </c>
      <c r="N8" s="4" t="s">
        <v>69</v>
      </c>
      <c r="O8" s="4" t="s">
        <v>70</v>
      </c>
    </row>
    <row r="9" spans="1:15" x14ac:dyDescent="0.6">
      <c r="A9" s="3">
        <v>5</v>
      </c>
      <c r="B9" s="4" t="s">
        <v>71</v>
      </c>
      <c r="C9" s="4" t="s">
        <v>72</v>
      </c>
      <c r="D9" s="4" t="s">
        <v>73</v>
      </c>
      <c r="E9" s="3" t="s">
        <v>22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23</v>
      </c>
      <c r="K9" s="3" t="s">
        <v>24</v>
      </c>
      <c r="L9" s="3" t="s">
        <v>24</v>
      </c>
      <c r="M9" s="3" t="s">
        <v>24</v>
      </c>
      <c r="N9" s="4" t="s">
        <v>60</v>
      </c>
      <c r="O9" s="4" t="s">
        <v>74</v>
      </c>
    </row>
    <row r="10" spans="1:15" x14ac:dyDescent="0.6">
      <c r="A10" s="3">
        <v>6</v>
      </c>
      <c r="B10" s="4" t="s">
        <v>57</v>
      </c>
      <c r="C10" s="4" t="s">
        <v>75</v>
      </c>
      <c r="D10" s="4" t="s">
        <v>76</v>
      </c>
      <c r="E10" s="3" t="s">
        <v>24</v>
      </c>
      <c r="F10" s="3" t="s">
        <v>24</v>
      </c>
      <c r="G10" s="3" t="s">
        <v>24</v>
      </c>
      <c r="H10" s="3" t="s">
        <v>23</v>
      </c>
      <c r="I10" s="3" t="s">
        <v>22</v>
      </c>
      <c r="J10" s="3" t="s">
        <v>23</v>
      </c>
      <c r="K10" s="3" t="s">
        <v>24</v>
      </c>
      <c r="L10" s="3" t="s">
        <v>24</v>
      </c>
      <c r="M10" s="3" t="s">
        <v>24</v>
      </c>
      <c r="N10" s="4" t="s">
        <v>60</v>
      </c>
      <c r="O10" s="4" t="s">
        <v>77</v>
      </c>
    </row>
    <row r="11" spans="1:15" x14ac:dyDescent="0.6">
      <c r="A11" s="3">
        <v>7</v>
      </c>
      <c r="B11" s="4" t="s">
        <v>52</v>
      </c>
      <c r="C11" s="4" t="s">
        <v>78</v>
      </c>
      <c r="D11" s="4" t="s">
        <v>79</v>
      </c>
      <c r="E11" s="3" t="s">
        <v>24</v>
      </c>
      <c r="F11" s="3" t="s">
        <v>23</v>
      </c>
      <c r="G11" s="3" t="s">
        <v>24</v>
      </c>
      <c r="H11" s="3" t="s">
        <v>22</v>
      </c>
      <c r="I11" s="3" t="s">
        <v>24</v>
      </c>
      <c r="J11" s="3" t="s">
        <v>24</v>
      </c>
      <c r="K11" s="3" t="s">
        <v>24</v>
      </c>
      <c r="L11" s="3" t="s">
        <v>22</v>
      </c>
      <c r="M11" s="3" t="s">
        <v>24</v>
      </c>
      <c r="N11" s="4" t="s">
        <v>60</v>
      </c>
      <c r="O11" s="4" t="s">
        <v>80</v>
      </c>
    </row>
    <row r="12" spans="1:15" x14ac:dyDescent="0.6">
      <c r="A12" s="3">
        <v>8</v>
      </c>
      <c r="B12" s="4" t="s">
        <v>57</v>
      </c>
      <c r="C12" s="4" t="s">
        <v>81</v>
      </c>
      <c r="D12" s="4" t="s">
        <v>82</v>
      </c>
      <c r="E12" s="3" t="s">
        <v>24</v>
      </c>
      <c r="F12" s="3" t="s">
        <v>23</v>
      </c>
      <c r="G12" s="3" t="s">
        <v>23</v>
      </c>
      <c r="H12" s="3" t="s">
        <v>23</v>
      </c>
      <c r="I12" s="3" t="s">
        <v>22</v>
      </c>
      <c r="J12" s="3" t="s">
        <v>24</v>
      </c>
      <c r="K12" s="3" t="s">
        <v>23</v>
      </c>
      <c r="L12" s="3" t="s">
        <v>24</v>
      </c>
      <c r="M12" s="3" t="s">
        <v>24</v>
      </c>
      <c r="N12" s="4" t="s">
        <v>60</v>
      </c>
      <c r="O12" s="4" t="s">
        <v>83</v>
      </c>
    </row>
    <row r="13" spans="1:15" ht="25.5" x14ac:dyDescent="0.6">
      <c r="A13" s="3">
        <v>9</v>
      </c>
      <c r="B13" s="4" t="s">
        <v>57</v>
      </c>
      <c r="C13" s="4" t="s">
        <v>84</v>
      </c>
      <c r="D13" s="4" t="s">
        <v>85</v>
      </c>
      <c r="E13" s="3" t="s">
        <v>24</v>
      </c>
      <c r="F13" s="3" t="s">
        <v>24</v>
      </c>
      <c r="G13" s="3" t="s">
        <v>24</v>
      </c>
      <c r="H13" s="3" t="s">
        <v>22</v>
      </c>
      <c r="I13" s="3" t="s">
        <v>22</v>
      </c>
      <c r="J13" s="3" t="s">
        <v>23</v>
      </c>
      <c r="K13" s="3" t="s">
        <v>24</v>
      </c>
      <c r="L13" s="3" t="s">
        <v>24</v>
      </c>
      <c r="M13" s="3" t="s">
        <v>24</v>
      </c>
      <c r="N13" s="4" t="s">
        <v>86</v>
      </c>
      <c r="O13" s="4" t="s">
        <v>66</v>
      </c>
    </row>
    <row r="14" spans="1:15" x14ac:dyDescent="0.6">
      <c r="A14" s="3">
        <v>10</v>
      </c>
      <c r="B14" s="4" t="s">
        <v>52</v>
      </c>
      <c r="C14" s="4" t="s">
        <v>87</v>
      </c>
      <c r="D14" s="4" t="s">
        <v>88</v>
      </c>
      <c r="E14" s="3" t="s">
        <v>24</v>
      </c>
      <c r="F14" s="3" t="s">
        <v>23</v>
      </c>
      <c r="G14" s="3" t="s">
        <v>24</v>
      </c>
      <c r="H14" s="3" t="s">
        <v>22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4" t="s">
        <v>60</v>
      </c>
      <c r="O14" s="4" t="s">
        <v>89</v>
      </c>
    </row>
    <row r="15" spans="1:15" x14ac:dyDescent="0.6">
      <c r="A15" s="3">
        <v>11</v>
      </c>
      <c r="B15" s="4" t="s">
        <v>71</v>
      </c>
      <c r="C15" s="4" t="s">
        <v>90</v>
      </c>
      <c r="D15" s="4" t="s">
        <v>91</v>
      </c>
      <c r="E15" s="3" t="s">
        <v>22</v>
      </c>
      <c r="F15" s="3" t="s">
        <v>23</v>
      </c>
      <c r="G15" s="3" t="s">
        <v>22</v>
      </c>
      <c r="H15" s="3" t="s">
        <v>24</v>
      </c>
      <c r="I15" s="3" t="s">
        <v>22</v>
      </c>
      <c r="J15" s="3" t="s">
        <v>24</v>
      </c>
      <c r="K15" s="3" t="s">
        <v>23</v>
      </c>
      <c r="L15" s="3" t="s">
        <v>24</v>
      </c>
      <c r="M15" s="3" t="s">
        <v>24</v>
      </c>
      <c r="N15" s="4" t="s">
        <v>60</v>
      </c>
      <c r="O15" s="4" t="s">
        <v>83</v>
      </c>
    </row>
    <row r="16" spans="1:15" x14ac:dyDescent="0.6">
      <c r="A16" s="3">
        <v>12</v>
      </c>
      <c r="B16" s="4" t="s">
        <v>71</v>
      </c>
      <c r="C16" s="4" t="s">
        <v>92</v>
      </c>
      <c r="D16" s="4" t="s">
        <v>93</v>
      </c>
      <c r="E16" s="3" t="s">
        <v>22</v>
      </c>
      <c r="F16" s="3" t="s">
        <v>24</v>
      </c>
      <c r="G16" s="3" t="s">
        <v>24</v>
      </c>
      <c r="H16" s="3" t="s">
        <v>22</v>
      </c>
      <c r="I16" s="3" t="s">
        <v>24</v>
      </c>
      <c r="J16" s="3" t="s">
        <v>24</v>
      </c>
      <c r="K16" s="3" t="s">
        <v>24</v>
      </c>
      <c r="L16" s="3" t="s">
        <v>24</v>
      </c>
      <c r="M16" s="3" t="s">
        <v>24</v>
      </c>
      <c r="N16" s="4" t="s">
        <v>94</v>
      </c>
      <c r="O16" s="4" t="s">
        <v>95</v>
      </c>
    </row>
    <row r="17" spans="1:15" x14ac:dyDescent="0.6">
      <c r="A17" s="3">
        <v>13</v>
      </c>
      <c r="B17" s="4" t="s">
        <v>52</v>
      </c>
      <c r="C17" s="4" t="s">
        <v>96</v>
      </c>
      <c r="D17" s="4" t="s">
        <v>97</v>
      </c>
      <c r="E17" s="3" t="s">
        <v>24</v>
      </c>
      <c r="F17" s="3" t="s">
        <v>22</v>
      </c>
      <c r="G17" s="3" t="s">
        <v>24</v>
      </c>
      <c r="H17" s="3" t="s">
        <v>22</v>
      </c>
      <c r="I17" s="3" t="s">
        <v>24</v>
      </c>
      <c r="J17" s="3" t="s">
        <v>24</v>
      </c>
      <c r="K17" s="3" t="s">
        <v>24</v>
      </c>
      <c r="L17" s="3" t="s">
        <v>22</v>
      </c>
      <c r="M17" s="3" t="s">
        <v>24</v>
      </c>
      <c r="N17" s="4" t="s">
        <v>98</v>
      </c>
      <c r="O17" s="4" t="s">
        <v>66</v>
      </c>
    </row>
    <row r="18" spans="1:15" x14ac:dyDescent="0.6">
      <c r="A18" s="3">
        <v>14</v>
      </c>
      <c r="B18" s="4" t="s">
        <v>71</v>
      </c>
      <c r="C18" s="4" t="s">
        <v>99</v>
      </c>
      <c r="D18" s="4" t="s">
        <v>100</v>
      </c>
      <c r="E18" s="3" t="s">
        <v>23</v>
      </c>
      <c r="F18" s="3" t="s">
        <v>24</v>
      </c>
      <c r="G18" s="3" t="s">
        <v>22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24</v>
      </c>
      <c r="N18" s="4" t="s">
        <v>60</v>
      </c>
      <c r="O18" s="4" t="s">
        <v>101</v>
      </c>
    </row>
    <row r="19" spans="1:15" x14ac:dyDescent="0.6">
      <c r="A19" s="3">
        <v>15</v>
      </c>
      <c r="B19" s="4" t="s">
        <v>57</v>
      </c>
      <c r="C19" s="4" t="s">
        <v>102</v>
      </c>
      <c r="D19" s="4" t="s">
        <v>103</v>
      </c>
      <c r="E19" s="3" t="s">
        <v>23</v>
      </c>
      <c r="F19" s="3" t="s">
        <v>24</v>
      </c>
      <c r="G19" s="3" t="s">
        <v>22</v>
      </c>
      <c r="H19" s="3" t="s">
        <v>23</v>
      </c>
      <c r="I19" s="3" t="s">
        <v>22</v>
      </c>
      <c r="J19" s="3" t="s">
        <v>24</v>
      </c>
      <c r="K19" s="3" t="s">
        <v>24</v>
      </c>
      <c r="L19" s="3" t="s">
        <v>24</v>
      </c>
      <c r="M19" s="3" t="s">
        <v>24</v>
      </c>
      <c r="N19" s="4" t="s">
        <v>104</v>
      </c>
      <c r="O19" s="4" t="s">
        <v>95</v>
      </c>
    </row>
    <row r="20" spans="1:15" x14ac:dyDescent="0.6">
      <c r="A20" s="3">
        <v>16</v>
      </c>
      <c r="B20" s="4" t="s">
        <v>71</v>
      </c>
      <c r="C20" s="4" t="s">
        <v>105</v>
      </c>
      <c r="D20" s="4" t="s">
        <v>106</v>
      </c>
      <c r="E20" s="3" t="s">
        <v>22</v>
      </c>
      <c r="F20" s="3" t="s">
        <v>24</v>
      </c>
      <c r="G20" s="3" t="s">
        <v>22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4" t="s">
        <v>60</v>
      </c>
      <c r="O20" s="4" t="s">
        <v>107</v>
      </c>
    </row>
    <row r="21" spans="1:15" x14ac:dyDescent="0.6">
      <c r="A21" s="3">
        <v>17</v>
      </c>
      <c r="B21" s="4" t="s">
        <v>62</v>
      </c>
      <c r="C21" s="4" t="s">
        <v>108</v>
      </c>
      <c r="D21" s="4" t="s">
        <v>109</v>
      </c>
      <c r="E21" s="3" t="s">
        <v>24</v>
      </c>
      <c r="F21" s="3" t="s">
        <v>24</v>
      </c>
      <c r="G21" s="3" t="s">
        <v>24</v>
      </c>
      <c r="H21" s="3" t="s">
        <v>24</v>
      </c>
      <c r="I21" s="3" t="s">
        <v>22</v>
      </c>
      <c r="J21" s="3" t="s">
        <v>22</v>
      </c>
      <c r="K21" s="3" t="s">
        <v>23</v>
      </c>
      <c r="L21" s="3" t="s">
        <v>24</v>
      </c>
      <c r="M21" s="3" t="s">
        <v>24</v>
      </c>
      <c r="N21" s="4" t="s">
        <v>60</v>
      </c>
      <c r="O21" s="4" t="s">
        <v>110</v>
      </c>
    </row>
    <row r="22" spans="1:15" x14ac:dyDescent="0.6">
      <c r="A22" s="3">
        <v>18</v>
      </c>
      <c r="B22" s="4" t="s">
        <v>62</v>
      </c>
      <c r="C22" s="4" t="s">
        <v>111</v>
      </c>
      <c r="D22" s="4" t="s">
        <v>112</v>
      </c>
      <c r="E22" s="3" t="s">
        <v>23</v>
      </c>
      <c r="F22" s="3" t="s">
        <v>23</v>
      </c>
      <c r="G22" s="3" t="s">
        <v>22</v>
      </c>
      <c r="H22" s="3" t="s">
        <v>23</v>
      </c>
      <c r="I22" s="3" t="s">
        <v>24</v>
      </c>
      <c r="J22" s="3" t="s">
        <v>24</v>
      </c>
      <c r="K22" s="3" t="s">
        <v>24</v>
      </c>
      <c r="L22" s="3" t="s">
        <v>22</v>
      </c>
      <c r="M22" s="3" t="s">
        <v>23</v>
      </c>
      <c r="N22" s="4" t="s">
        <v>65</v>
      </c>
      <c r="O22" s="4" t="s">
        <v>66</v>
      </c>
    </row>
    <row r="23" spans="1:15" x14ac:dyDescent="0.6">
      <c r="A23" s="3">
        <v>19</v>
      </c>
      <c r="B23" s="4" t="s">
        <v>52</v>
      </c>
      <c r="C23" s="4" t="s">
        <v>113</v>
      </c>
      <c r="D23" s="4" t="s">
        <v>114</v>
      </c>
      <c r="E23" s="3" t="s">
        <v>24</v>
      </c>
      <c r="F23" s="3" t="s">
        <v>23</v>
      </c>
      <c r="G23" s="3" t="s">
        <v>24</v>
      </c>
      <c r="H23" s="3" t="s">
        <v>22</v>
      </c>
      <c r="I23" s="3" t="s">
        <v>24</v>
      </c>
      <c r="J23" s="3" t="s">
        <v>24</v>
      </c>
      <c r="K23" s="3" t="s">
        <v>24</v>
      </c>
      <c r="L23" s="3" t="s">
        <v>22</v>
      </c>
      <c r="M23" s="3" t="s">
        <v>24</v>
      </c>
      <c r="N23" s="4" t="s">
        <v>60</v>
      </c>
      <c r="O23" s="4" t="s">
        <v>115</v>
      </c>
    </row>
    <row r="24" spans="1:15" x14ac:dyDescent="0.6">
      <c r="A24" s="3">
        <v>20</v>
      </c>
      <c r="B24" s="4" t="s">
        <v>71</v>
      </c>
      <c r="C24" s="4" t="s">
        <v>116</v>
      </c>
      <c r="D24" s="4" t="s">
        <v>117</v>
      </c>
      <c r="E24" s="3" t="s">
        <v>23</v>
      </c>
      <c r="F24" s="3" t="s">
        <v>24</v>
      </c>
      <c r="G24" s="3" t="s">
        <v>22</v>
      </c>
      <c r="H24" s="3" t="s">
        <v>24</v>
      </c>
      <c r="I24" s="3" t="s">
        <v>24</v>
      </c>
      <c r="J24" s="3" t="s">
        <v>24</v>
      </c>
      <c r="K24" s="3" t="s">
        <v>24</v>
      </c>
      <c r="L24" s="3" t="s">
        <v>24</v>
      </c>
      <c r="M24" s="3" t="s">
        <v>24</v>
      </c>
      <c r="N24" s="4" t="s">
        <v>60</v>
      </c>
      <c r="O24" s="4" t="s">
        <v>95</v>
      </c>
    </row>
    <row r="25" spans="1:15" x14ac:dyDescent="0.6">
      <c r="A25" s="3">
        <v>21</v>
      </c>
      <c r="B25" s="4" t="s">
        <v>57</v>
      </c>
      <c r="C25" s="4" t="s">
        <v>118</v>
      </c>
      <c r="D25" s="4" t="s">
        <v>119</v>
      </c>
      <c r="E25" s="3" t="s">
        <v>22</v>
      </c>
      <c r="F25" s="3" t="s">
        <v>24</v>
      </c>
      <c r="G25" s="3" t="s">
        <v>24</v>
      </c>
      <c r="H25" s="3" t="s">
        <v>23</v>
      </c>
      <c r="I25" s="3" t="s">
        <v>22</v>
      </c>
      <c r="J25" s="3" t="s">
        <v>22</v>
      </c>
      <c r="K25" s="3" t="s">
        <v>23</v>
      </c>
      <c r="L25" s="3" t="s">
        <v>24</v>
      </c>
      <c r="M25" s="3" t="s">
        <v>24</v>
      </c>
      <c r="N25" s="4" t="s">
        <v>60</v>
      </c>
      <c r="O25" s="4" t="s">
        <v>66</v>
      </c>
    </row>
    <row r="26" spans="1:15" x14ac:dyDescent="0.6">
      <c r="A26" s="7" t="s">
        <v>120</v>
      </c>
      <c r="B26" s="7" t="s">
        <v>3</v>
      </c>
      <c r="C26" s="7" t="s">
        <v>121</v>
      </c>
      <c r="D26" s="7" t="s">
        <v>122</v>
      </c>
      <c r="E26" s="8" t="s">
        <v>22</v>
      </c>
      <c r="F26" s="8" t="s">
        <v>22</v>
      </c>
      <c r="G26" s="8" t="s">
        <v>22</v>
      </c>
      <c r="H26" s="8" t="s">
        <v>22</v>
      </c>
      <c r="I26" s="8" t="s">
        <v>22</v>
      </c>
      <c r="J26" s="8" t="s">
        <v>22</v>
      </c>
      <c r="K26" s="8" t="s">
        <v>22</v>
      </c>
      <c r="L26" s="8" t="s">
        <v>22</v>
      </c>
      <c r="M26" s="8" t="s">
        <v>22</v>
      </c>
      <c r="N26" s="7" t="s">
        <v>123</v>
      </c>
      <c r="O26" s="7" t="s">
        <v>124</v>
      </c>
    </row>
    <row r="27" spans="1:15" x14ac:dyDescent="0.6">
      <c r="A27" s="9"/>
      <c r="B27" s="9"/>
      <c r="C27" s="9" t="s">
        <v>125</v>
      </c>
      <c r="D27" s="9"/>
      <c r="E27" s="10">
        <f t="shared" ref="E27:M27" si="0">COUNTIF(E5:E25,"●")</f>
        <v>6</v>
      </c>
      <c r="F27" s="10">
        <f t="shared" si="0"/>
        <v>2</v>
      </c>
      <c r="G27" s="10">
        <f t="shared" si="0"/>
        <v>6</v>
      </c>
      <c r="H27" s="10">
        <f t="shared" si="0"/>
        <v>7</v>
      </c>
      <c r="I27" s="10">
        <f t="shared" si="0"/>
        <v>8</v>
      </c>
      <c r="J27" s="10">
        <f t="shared" si="0"/>
        <v>2</v>
      </c>
      <c r="K27" s="10">
        <f t="shared" si="0"/>
        <v>0</v>
      </c>
      <c r="L27" s="10">
        <f t="shared" si="0"/>
        <v>6</v>
      </c>
      <c r="M27" s="10">
        <f t="shared" si="0"/>
        <v>0</v>
      </c>
      <c r="N27" s="9"/>
      <c r="O27" s="9"/>
    </row>
    <row r="28" spans="1:15" x14ac:dyDescent="0.6">
      <c r="A28" s="9"/>
      <c r="B28" s="9"/>
      <c r="C28" s="9" t="s">
        <v>126</v>
      </c>
      <c r="D28" s="9"/>
      <c r="E28" s="10">
        <f t="shared" ref="E28:M28" si="1">COUNTIF(E5:E25,"◐")</f>
        <v>4</v>
      </c>
      <c r="F28" s="10">
        <f t="shared" si="1"/>
        <v>6</v>
      </c>
      <c r="G28" s="10">
        <f t="shared" si="1"/>
        <v>2</v>
      </c>
      <c r="H28" s="10">
        <f t="shared" si="1"/>
        <v>7</v>
      </c>
      <c r="I28" s="10">
        <f t="shared" si="1"/>
        <v>0</v>
      </c>
      <c r="J28" s="10">
        <f t="shared" si="1"/>
        <v>4</v>
      </c>
      <c r="K28" s="10">
        <f t="shared" si="1"/>
        <v>4</v>
      </c>
      <c r="L28" s="10">
        <f t="shared" si="1"/>
        <v>1</v>
      </c>
      <c r="M28" s="10">
        <f t="shared" si="1"/>
        <v>1</v>
      </c>
      <c r="N28" s="9"/>
      <c r="O28" s="9"/>
    </row>
  </sheetData>
  <autoFilter ref="A4:O25" xr:uid="{00000000-0009-0000-0000-000001000000}"/>
  <mergeCells count="2">
    <mergeCell ref="A1:C1"/>
    <mergeCell ref="A2:C2"/>
  </mergeCells>
  <phoneticPr fontId="8" type="noConversion"/>
  <conditionalFormatting sqref="E5:M25">
    <cfRule type="cellIs" dxfId="1" priority="1" operator="equal">
      <formula>"●"</formula>
    </cfRule>
    <cfRule type="cellIs" dxfId="0" priority="2" operator="equal">
      <formula>"◐"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showGridLines="0" zoomScale="42" zoomScaleNormal="42" workbookViewId="0">
      <pane xSplit="4" ySplit="4" topLeftCell="E5" activePane="bottomRight" state="frozen"/>
      <selection pane="topRight"/>
      <selection pane="bottomLeft"/>
      <selection pane="bottomRight" activeCell="H36" sqref="H36"/>
    </sheetView>
  </sheetViews>
  <sheetFormatPr defaultRowHeight="16.899999999999999" x14ac:dyDescent="0.6"/>
  <cols>
    <col min="1" max="1" width="5" customWidth="1"/>
    <col min="2" max="2" width="19.3125" bestFit="1" customWidth="1"/>
    <col min="3" max="3" width="41.5" customWidth="1"/>
    <col min="4" max="4" width="61.9375" customWidth="1"/>
    <col min="5" max="5" width="35.875" customWidth="1"/>
    <col min="6" max="6" width="49.625" customWidth="1"/>
    <col min="7" max="7" width="30" customWidth="1"/>
    <col min="8" max="8" width="40" customWidth="1"/>
    <col min="9" max="9" width="30" customWidth="1"/>
    <col min="10" max="10" width="37.6875" customWidth="1"/>
    <col min="11" max="11" width="32.4375" customWidth="1"/>
    <col min="12" max="12" width="34.0625" customWidth="1"/>
  </cols>
  <sheetData>
    <row r="1" spans="1:12" ht="18.399999999999999" x14ac:dyDescent="0.6">
      <c r="A1" s="15" t="s">
        <v>127</v>
      </c>
      <c r="B1" s="15"/>
      <c r="C1" s="15"/>
    </row>
    <row r="2" spans="1:12" x14ac:dyDescent="0.6">
      <c r="A2" s="16" t="s">
        <v>128</v>
      </c>
      <c r="B2" s="16"/>
      <c r="C2" s="16"/>
    </row>
    <row r="4" spans="1:12" ht="30" customHeight="1" x14ac:dyDescent="0.6">
      <c r="A4" s="2" t="s">
        <v>37</v>
      </c>
      <c r="B4" s="2" t="s">
        <v>38</v>
      </c>
      <c r="C4" s="2" t="s">
        <v>39</v>
      </c>
      <c r="D4" s="2" t="s">
        <v>129</v>
      </c>
      <c r="E4" s="2" t="s">
        <v>130</v>
      </c>
      <c r="F4" s="2" t="s">
        <v>131</v>
      </c>
      <c r="G4" s="2" t="s">
        <v>132</v>
      </c>
      <c r="H4" s="2" t="s">
        <v>133</v>
      </c>
      <c r="I4" s="2" t="s">
        <v>134</v>
      </c>
      <c r="J4" s="2" t="s">
        <v>135</v>
      </c>
      <c r="K4" s="2" t="s">
        <v>136</v>
      </c>
      <c r="L4" s="2" t="s">
        <v>137</v>
      </c>
    </row>
    <row r="5" spans="1:12" ht="26" customHeight="1" x14ac:dyDescent="0.6">
      <c r="A5" s="11">
        <v>5</v>
      </c>
      <c r="B5" s="12" t="s">
        <v>71</v>
      </c>
      <c r="C5" s="12" t="s">
        <v>72</v>
      </c>
      <c r="D5" s="12" t="s">
        <v>138</v>
      </c>
      <c r="E5" s="12" t="s">
        <v>139</v>
      </c>
      <c r="F5" s="12" t="s">
        <v>140</v>
      </c>
      <c r="G5" s="12" t="s">
        <v>141</v>
      </c>
      <c r="H5" s="12" t="s">
        <v>142</v>
      </c>
      <c r="I5" s="12" t="s">
        <v>143</v>
      </c>
      <c r="J5" s="17" t="s">
        <v>369</v>
      </c>
      <c r="K5" s="12" t="s">
        <v>144</v>
      </c>
      <c r="L5" s="12" t="s">
        <v>145</v>
      </c>
    </row>
    <row r="6" spans="1:12" ht="26" customHeight="1" x14ac:dyDescent="0.6">
      <c r="A6" s="3">
        <v>11</v>
      </c>
      <c r="B6" s="4" t="s">
        <v>71</v>
      </c>
      <c r="C6" s="4" t="s">
        <v>90</v>
      </c>
      <c r="D6" s="4" t="s">
        <v>146</v>
      </c>
      <c r="E6" s="4" t="s">
        <v>147</v>
      </c>
      <c r="F6" s="4" t="s">
        <v>148</v>
      </c>
      <c r="G6" s="4" t="s">
        <v>149</v>
      </c>
      <c r="H6" s="4" t="s">
        <v>150</v>
      </c>
      <c r="I6" s="4" t="s">
        <v>151</v>
      </c>
      <c r="J6" s="4" t="s">
        <v>24</v>
      </c>
      <c r="K6" s="4" t="s">
        <v>152</v>
      </c>
      <c r="L6" s="4" t="s">
        <v>153</v>
      </c>
    </row>
    <row r="7" spans="1:12" ht="26" customHeight="1" x14ac:dyDescent="0.6">
      <c r="A7" s="3">
        <v>12</v>
      </c>
      <c r="B7" s="4" t="s">
        <v>71</v>
      </c>
      <c r="C7" s="4" t="s">
        <v>92</v>
      </c>
      <c r="D7" s="4" t="s">
        <v>154</v>
      </c>
      <c r="E7" s="4" t="s">
        <v>155</v>
      </c>
      <c r="F7" s="4" t="s">
        <v>156</v>
      </c>
      <c r="G7" s="4" t="s">
        <v>157</v>
      </c>
      <c r="H7" s="4" t="s">
        <v>158</v>
      </c>
      <c r="I7" s="4" t="s">
        <v>159</v>
      </c>
      <c r="J7" s="4" t="s">
        <v>24</v>
      </c>
      <c r="K7" s="4" t="s">
        <v>160</v>
      </c>
      <c r="L7" s="4"/>
    </row>
    <row r="8" spans="1:12" ht="26" customHeight="1" x14ac:dyDescent="0.6">
      <c r="A8" s="3">
        <v>14</v>
      </c>
      <c r="B8" s="4" t="s">
        <v>71</v>
      </c>
      <c r="C8" s="4" t="s">
        <v>99</v>
      </c>
      <c r="D8" s="4" t="s">
        <v>161</v>
      </c>
      <c r="E8" s="4" t="s">
        <v>162</v>
      </c>
      <c r="F8" s="4" t="s">
        <v>163</v>
      </c>
      <c r="G8" s="4" t="s">
        <v>164</v>
      </c>
      <c r="H8" s="4" t="s">
        <v>165</v>
      </c>
      <c r="I8" s="4" t="s">
        <v>166</v>
      </c>
      <c r="J8" s="4" t="s">
        <v>24</v>
      </c>
      <c r="K8" s="4" t="s">
        <v>167</v>
      </c>
      <c r="L8" s="4"/>
    </row>
    <row r="9" spans="1:12" ht="26" customHeight="1" x14ac:dyDescent="0.6">
      <c r="A9" s="3">
        <v>16</v>
      </c>
      <c r="B9" s="4" t="s">
        <v>71</v>
      </c>
      <c r="C9" s="4" t="s">
        <v>105</v>
      </c>
      <c r="D9" s="4" t="s">
        <v>168</v>
      </c>
      <c r="E9" s="4" t="s">
        <v>169</v>
      </c>
      <c r="F9" s="4" t="s">
        <v>170</v>
      </c>
      <c r="G9" s="4" t="s">
        <v>171</v>
      </c>
      <c r="H9" s="4" t="s">
        <v>172</v>
      </c>
      <c r="I9" s="4" t="s">
        <v>159</v>
      </c>
      <c r="J9" s="4" t="s">
        <v>24</v>
      </c>
      <c r="K9" s="4" t="s">
        <v>173</v>
      </c>
      <c r="L9" s="4"/>
    </row>
    <row r="10" spans="1:12" ht="26" customHeight="1" x14ac:dyDescent="0.6">
      <c r="A10" s="3">
        <v>20</v>
      </c>
      <c r="B10" s="4" t="s">
        <v>71</v>
      </c>
      <c r="C10" s="4" t="s">
        <v>116</v>
      </c>
      <c r="D10" s="4" t="s">
        <v>174</v>
      </c>
      <c r="E10" s="4" t="s">
        <v>175</v>
      </c>
      <c r="F10" s="4" t="s">
        <v>176</v>
      </c>
      <c r="G10" s="4" t="s">
        <v>171</v>
      </c>
      <c r="H10" s="4" t="s">
        <v>177</v>
      </c>
      <c r="I10" s="4" t="s">
        <v>178</v>
      </c>
      <c r="J10" s="4" t="s">
        <v>24</v>
      </c>
      <c r="K10" s="4" t="s">
        <v>179</v>
      </c>
      <c r="L10" s="4"/>
    </row>
    <row r="11" spans="1:12" ht="26" customHeight="1" x14ac:dyDescent="0.6">
      <c r="A11" s="3">
        <v>2</v>
      </c>
      <c r="B11" s="4" t="s">
        <v>57</v>
      </c>
      <c r="C11" s="4" t="s">
        <v>58</v>
      </c>
      <c r="D11" s="4" t="s">
        <v>180</v>
      </c>
      <c r="E11" s="4" t="s">
        <v>181</v>
      </c>
      <c r="F11" s="4" t="s">
        <v>182</v>
      </c>
      <c r="G11" s="4" t="s">
        <v>171</v>
      </c>
      <c r="H11" s="4" t="s">
        <v>183</v>
      </c>
      <c r="I11" s="4" t="s">
        <v>184</v>
      </c>
      <c r="J11" s="4" t="s">
        <v>24</v>
      </c>
      <c r="K11" s="4" t="s">
        <v>185</v>
      </c>
      <c r="L11" s="4"/>
    </row>
    <row r="12" spans="1:12" ht="26" customHeight="1" x14ac:dyDescent="0.6">
      <c r="A12" s="3">
        <v>6</v>
      </c>
      <c r="B12" s="4" t="s">
        <v>57</v>
      </c>
      <c r="C12" s="4" t="s">
        <v>75</v>
      </c>
      <c r="D12" s="4" t="s">
        <v>186</v>
      </c>
      <c r="E12" s="4" t="s">
        <v>187</v>
      </c>
      <c r="F12" s="4" t="s">
        <v>188</v>
      </c>
      <c r="G12" s="4" t="s">
        <v>189</v>
      </c>
      <c r="H12" s="4" t="s">
        <v>190</v>
      </c>
      <c r="I12" s="4" t="s">
        <v>191</v>
      </c>
      <c r="J12" s="4" t="s">
        <v>24</v>
      </c>
      <c r="K12" s="4" t="s">
        <v>192</v>
      </c>
      <c r="L12" s="4"/>
    </row>
    <row r="13" spans="1:12" ht="26" customHeight="1" x14ac:dyDescent="0.6">
      <c r="A13" s="3">
        <v>8</v>
      </c>
      <c r="B13" s="4" t="s">
        <v>57</v>
      </c>
      <c r="C13" s="4" t="s">
        <v>81</v>
      </c>
      <c r="D13" s="4" t="s">
        <v>193</v>
      </c>
      <c r="E13" s="4" t="s">
        <v>194</v>
      </c>
      <c r="F13" s="4" t="s">
        <v>195</v>
      </c>
      <c r="G13" s="4" t="s">
        <v>171</v>
      </c>
      <c r="H13" s="4" t="s">
        <v>196</v>
      </c>
      <c r="I13" s="4" t="s">
        <v>197</v>
      </c>
      <c r="J13" s="4" t="s">
        <v>24</v>
      </c>
      <c r="K13" s="4" t="s">
        <v>198</v>
      </c>
      <c r="L13" s="4" t="s">
        <v>199</v>
      </c>
    </row>
    <row r="14" spans="1:12" ht="26" customHeight="1" x14ac:dyDescent="0.6">
      <c r="A14" s="3">
        <v>9</v>
      </c>
      <c r="B14" s="4" t="s">
        <v>57</v>
      </c>
      <c r="C14" s="4" t="s">
        <v>84</v>
      </c>
      <c r="D14" s="4" t="s">
        <v>200</v>
      </c>
      <c r="E14" s="4" t="s">
        <v>201</v>
      </c>
      <c r="F14" s="4" t="s">
        <v>182</v>
      </c>
      <c r="G14" s="4" t="s">
        <v>24</v>
      </c>
      <c r="H14" s="4" t="s">
        <v>202</v>
      </c>
      <c r="I14" s="4" t="s">
        <v>203</v>
      </c>
      <c r="J14" s="4" t="s">
        <v>204</v>
      </c>
      <c r="K14" s="4" t="s">
        <v>205</v>
      </c>
      <c r="L14" s="4"/>
    </row>
    <row r="15" spans="1:12" ht="26" customHeight="1" x14ac:dyDescent="0.6">
      <c r="A15" s="3">
        <v>15</v>
      </c>
      <c r="B15" s="4" t="s">
        <v>57</v>
      </c>
      <c r="C15" s="4" t="s">
        <v>102</v>
      </c>
      <c r="D15" s="4" t="s">
        <v>206</v>
      </c>
      <c r="E15" s="4" t="s">
        <v>207</v>
      </c>
      <c r="F15" s="4" t="s">
        <v>156</v>
      </c>
      <c r="G15" s="4" t="s">
        <v>208</v>
      </c>
      <c r="H15" s="4" t="s">
        <v>209</v>
      </c>
      <c r="I15" s="4" t="s">
        <v>151</v>
      </c>
      <c r="J15" s="4" t="s">
        <v>210</v>
      </c>
      <c r="K15" s="4" t="s">
        <v>211</v>
      </c>
      <c r="L15" s="4"/>
    </row>
    <row r="16" spans="1:12" ht="26" customHeight="1" x14ac:dyDescent="0.6">
      <c r="A16" s="3">
        <v>21</v>
      </c>
      <c r="B16" s="4" t="s">
        <v>57</v>
      </c>
      <c r="C16" s="4" t="s">
        <v>118</v>
      </c>
      <c r="D16" s="4" t="s">
        <v>212</v>
      </c>
      <c r="E16" s="4" t="s">
        <v>24</v>
      </c>
      <c r="F16" s="4" t="s">
        <v>213</v>
      </c>
      <c r="G16" s="4" t="s">
        <v>214</v>
      </c>
      <c r="H16" s="4" t="s">
        <v>215</v>
      </c>
      <c r="I16" s="4" t="s">
        <v>216</v>
      </c>
      <c r="J16" s="4" t="s">
        <v>24</v>
      </c>
      <c r="K16" s="4" t="s">
        <v>217</v>
      </c>
      <c r="L16" s="4" t="s">
        <v>218</v>
      </c>
    </row>
    <row r="17" spans="1:12" ht="26" customHeight="1" x14ac:dyDescent="0.6">
      <c r="A17" s="3">
        <v>1</v>
      </c>
      <c r="B17" s="4" t="s">
        <v>52</v>
      </c>
      <c r="C17" s="4" t="s">
        <v>53</v>
      </c>
      <c r="D17" s="4" t="s">
        <v>219</v>
      </c>
      <c r="E17" s="4" t="s">
        <v>220</v>
      </c>
      <c r="F17" s="4" t="s">
        <v>221</v>
      </c>
      <c r="G17" s="4" t="s">
        <v>24</v>
      </c>
      <c r="H17" s="4" t="s">
        <v>222</v>
      </c>
      <c r="I17" s="4" t="s">
        <v>223</v>
      </c>
      <c r="J17" s="4" t="s">
        <v>24</v>
      </c>
      <c r="K17" s="4" t="s">
        <v>224</v>
      </c>
      <c r="L17" s="4" t="s">
        <v>225</v>
      </c>
    </row>
    <row r="18" spans="1:12" ht="26" customHeight="1" x14ac:dyDescent="0.6">
      <c r="A18" s="3">
        <v>4</v>
      </c>
      <c r="B18" s="4" t="s">
        <v>52</v>
      </c>
      <c r="C18" s="4" t="s">
        <v>67</v>
      </c>
      <c r="D18" s="4" t="s">
        <v>226</v>
      </c>
      <c r="E18" s="4" t="s">
        <v>227</v>
      </c>
      <c r="F18" s="4" t="s">
        <v>182</v>
      </c>
      <c r="G18" s="4" t="s">
        <v>228</v>
      </c>
      <c r="H18" s="4" t="s">
        <v>229</v>
      </c>
      <c r="I18" s="4" t="s">
        <v>230</v>
      </c>
      <c r="J18" s="4" t="s">
        <v>231</v>
      </c>
      <c r="K18" s="4" t="s">
        <v>232</v>
      </c>
      <c r="L18" s="4"/>
    </row>
    <row r="19" spans="1:12" ht="26" customHeight="1" x14ac:dyDescent="0.6">
      <c r="A19" s="3">
        <v>7</v>
      </c>
      <c r="B19" s="4" t="s">
        <v>52</v>
      </c>
      <c r="C19" s="4" t="s">
        <v>78</v>
      </c>
      <c r="D19" s="4" t="s">
        <v>233</v>
      </c>
      <c r="E19" s="4" t="s">
        <v>234</v>
      </c>
      <c r="F19" s="4" t="s">
        <v>235</v>
      </c>
      <c r="G19" s="4" t="s">
        <v>236</v>
      </c>
      <c r="H19" s="4" t="s">
        <v>237</v>
      </c>
      <c r="I19" s="4" t="s">
        <v>238</v>
      </c>
      <c r="J19" s="4" t="s">
        <v>24</v>
      </c>
      <c r="K19" s="4" t="s">
        <v>239</v>
      </c>
      <c r="L19" s="4" t="s">
        <v>240</v>
      </c>
    </row>
    <row r="20" spans="1:12" ht="26" customHeight="1" x14ac:dyDescent="0.6">
      <c r="A20" s="3">
        <v>10</v>
      </c>
      <c r="B20" s="4" t="s">
        <v>52</v>
      </c>
      <c r="C20" s="4" t="s">
        <v>87</v>
      </c>
      <c r="D20" s="4" t="s">
        <v>241</v>
      </c>
      <c r="E20" s="4" t="s">
        <v>242</v>
      </c>
      <c r="F20" s="4" t="s">
        <v>243</v>
      </c>
      <c r="G20" s="4" t="s">
        <v>244</v>
      </c>
      <c r="H20" s="4" t="s">
        <v>245</v>
      </c>
      <c r="I20" s="4" t="s">
        <v>246</v>
      </c>
      <c r="J20" s="4" t="s">
        <v>24</v>
      </c>
      <c r="K20" s="4" t="s">
        <v>247</v>
      </c>
      <c r="L20" s="4" t="s">
        <v>248</v>
      </c>
    </row>
    <row r="21" spans="1:12" ht="26" customHeight="1" x14ac:dyDescent="0.6">
      <c r="A21" s="3">
        <v>13</v>
      </c>
      <c r="B21" s="4" t="s">
        <v>52</v>
      </c>
      <c r="C21" s="4" t="s">
        <v>96</v>
      </c>
      <c r="D21" s="4" t="s">
        <v>249</v>
      </c>
      <c r="E21" s="4" t="s">
        <v>220</v>
      </c>
      <c r="F21" s="4" t="s">
        <v>250</v>
      </c>
      <c r="G21" s="4" t="s">
        <v>251</v>
      </c>
      <c r="H21" s="4" t="s">
        <v>252</v>
      </c>
      <c r="I21" s="4" t="s">
        <v>253</v>
      </c>
      <c r="J21" s="4" t="s">
        <v>24</v>
      </c>
      <c r="K21" s="4" t="s">
        <v>254</v>
      </c>
      <c r="L21" s="4" t="s">
        <v>255</v>
      </c>
    </row>
    <row r="22" spans="1:12" ht="26" customHeight="1" x14ac:dyDescent="0.6">
      <c r="A22" s="3">
        <v>19</v>
      </c>
      <c r="B22" s="4" t="s">
        <v>52</v>
      </c>
      <c r="C22" s="4" t="s">
        <v>113</v>
      </c>
      <c r="D22" s="4" t="s">
        <v>256</v>
      </c>
      <c r="E22" s="4" t="s">
        <v>257</v>
      </c>
      <c r="F22" s="4" t="s">
        <v>243</v>
      </c>
      <c r="G22" s="4" t="s">
        <v>24</v>
      </c>
      <c r="H22" s="4" t="s">
        <v>258</v>
      </c>
      <c r="I22" s="4" t="s">
        <v>259</v>
      </c>
      <c r="J22" s="4" t="s">
        <v>260</v>
      </c>
      <c r="K22" s="4" t="s">
        <v>261</v>
      </c>
      <c r="L22" s="4" t="s">
        <v>262</v>
      </c>
    </row>
    <row r="23" spans="1:12" ht="26" customHeight="1" x14ac:dyDescent="0.6">
      <c r="A23" s="3">
        <v>3</v>
      </c>
      <c r="B23" s="4" t="s">
        <v>62</v>
      </c>
      <c r="C23" s="4" t="s">
        <v>63</v>
      </c>
      <c r="D23" s="4" t="s">
        <v>263</v>
      </c>
      <c r="E23" s="4" t="s">
        <v>24</v>
      </c>
      <c r="F23" s="4" t="s">
        <v>182</v>
      </c>
      <c r="G23" s="4" t="s">
        <v>264</v>
      </c>
      <c r="H23" s="4" t="s">
        <v>265</v>
      </c>
      <c r="I23" s="4" t="s">
        <v>266</v>
      </c>
      <c r="J23" s="4" t="s">
        <v>267</v>
      </c>
      <c r="K23" s="4" t="s">
        <v>268</v>
      </c>
      <c r="L23" s="4"/>
    </row>
    <row r="24" spans="1:12" ht="26" customHeight="1" x14ac:dyDescent="0.6">
      <c r="A24" s="3">
        <v>18</v>
      </c>
      <c r="B24" s="4" t="s">
        <v>62</v>
      </c>
      <c r="C24" s="4" t="s">
        <v>111</v>
      </c>
      <c r="D24" s="4" t="s">
        <v>269</v>
      </c>
      <c r="E24" s="4" t="s">
        <v>270</v>
      </c>
      <c r="F24" s="4" t="s">
        <v>271</v>
      </c>
      <c r="G24" s="4" t="s">
        <v>272</v>
      </c>
      <c r="H24" s="4" t="s">
        <v>273</v>
      </c>
      <c r="I24" s="4" t="s">
        <v>274</v>
      </c>
      <c r="J24" s="4" t="s">
        <v>275</v>
      </c>
      <c r="K24" s="4" t="s">
        <v>276</v>
      </c>
      <c r="L24" s="4" t="s">
        <v>277</v>
      </c>
    </row>
    <row r="25" spans="1:12" ht="26" customHeight="1" x14ac:dyDescent="0.6">
      <c r="A25" s="3">
        <v>17</v>
      </c>
      <c r="B25" s="4" t="s">
        <v>62</v>
      </c>
      <c r="C25" s="4" t="s">
        <v>108</v>
      </c>
      <c r="D25" s="4" t="s">
        <v>278</v>
      </c>
      <c r="E25" s="4" t="s">
        <v>279</v>
      </c>
      <c r="F25" s="4" t="s">
        <v>280</v>
      </c>
      <c r="G25" s="4" t="s">
        <v>281</v>
      </c>
      <c r="H25" s="4" t="s">
        <v>282</v>
      </c>
      <c r="I25" s="4" t="s">
        <v>283</v>
      </c>
      <c r="J25" s="4" t="s">
        <v>24</v>
      </c>
      <c r="K25" s="4" t="s">
        <v>284</v>
      </c>
      <c r="L25" s="4" t="s">
        <v>285</v>
      </c>
    </row>
  </sheetData>
  <autoFilter ref="A4:L25" xr:uid="{00000000-0009-0000-0000-000002000000}"/>
  <mergeCells count="2">
    <mergeCell ref="A1:C1"/>
    <mergeCell ref="A2:C2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tabSelected="1" workbookViewId="0"/>
  </sheetViews>
  <sheetFormatPr defaultRowHeight="16.899999999999999" x14ac:dyDescent="0.6"/>
  <cols>
    <col min="1" max="1" width="20" customWidth="1"/>
    <col min="2" max="3" width="60" customWidth="1"/>
  </cols>
  <sheetData>
    <row r="1" spans="1:3" ht="18.399999999999999" x14ac:dyDescent="0.6">
      <c r="A1" s="1" t="s">
        <v>286</v>
      </c>
    </row>
    <row r="3" spans="1:3" x14ac:dyDescent="0.6">
      <c r="A3" s="2" t="s">
        <v>2</v>
      </c>
      <c r="B3" s="2" t="s">
        <v>287</v>
      </c>
      <c r="C3" s="2" t="s">
        <v>288</v>
      </c>
    </row>
    <row r="4" spans="1:3" x14ac:dyDescent="0.6">
      <c r="A4" s="4" t="s">
        <v>130</v>
      </c>
      <c r="B4" s="4" t="s">
        <v>289</v>
      </c>
      <c r="C4" s="4" t="s">
        <v>290</v>
      </c>
    </row>
    <row r="5" spans="1:3" x14ac:dyDescent="0.6">
      <c r="A5" s="4" t="s">
        <v>291</v>
      </c>
      <c r="B5" s="4" t="s">
        <v>292</v>
      </c>
      <c r="C5" s="4" t="s">
        <v>293</v>
      </c>
    </row>
    <row r="6" spans="1:3" x14ac:dyDescent="0.6">
      <c r="A6" s="4" t="s">
        <v>132</v>
      </c>
      <c r="B6" s="4" t="s">
        <v>294</v>
      </c>
      <c r="C6" s="4" t="s">
        <v>25</v>
      </c>
    </row>
    <row r="7" spans="1:3" x14ac:dyDescent="0.6">
      <c r="A7" s="4" t="s">
        <v>133</v>
      </c>
      <c r="B7" s="4" t="s">
        <v>295</v>
      </c>
      <c r="C7" s="4" t="s">
        <v>296</v>
      </c>
    </row>
    <row r="8" spans="1:3" x14ac:dyDescent="0.6">
      <c r="A8" s="4" t="s">
        <v>297</v>
      </c>
      <c r="B8" s="4" t="s">
        <v>298</v>
      </c>
      <c r="C8" s="4" t="s">
        <v>299</v>
      </c>
    </row>
    <row r="9" spans="1:3" x14ac:dyDescent="0.6">
      <c r="A9" s="4" t="s">
        <v>135</v>
      </c>
      <c r="B9" s="4" t="s">
        <v>300</v>
      </c>
      <c r="C9" s="4" t="s">
        <v>301</v>
      </c>
    </row>
    <row r="11" spans="1:3" x14ac:dyDescent="0.6">
      <c r="A11" s="5" t="s">
        <v>302</v>
      </c>
    </row>
    <row r="12" spans="1:3" ht="80" customHeight="1" x14ac:dyDescent="0.6">
      <c r="A12" s="13" t="s">
        <v>303</v>
      </c>
      <c r="B12" s="14"/>
      <c r="C12" s="14"/>
    </row>
  </sheetData>
  <mergeCells count="1">
    <mergeCell ref="A12:C12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showGridLines="0" zoomScale="85" zoomScaleNormal="85" workbookViewId="0">
      <selection sqref="A1:C1"/>
    </sheetView>
  </sheetViews>
  <sheetFormatPr defaultRowHeight="16.899999999999999" x14ac:dyDescent="0.6"/>
  <cols>
    <col min="1" max="1" width="5" customWidth="1"/>
    <col min="2" max="2" width="30" customWidth="1"/>
    <col min="3" max="3" width="73.8125" customWidth="1"/>
    <col min="4" max="4" width="16.5" bestFit="1" customWidth="1"/>
    <col min="5" max="5" width="45.9375" bestFit="1" customWidth="1"/>
    <col min="6" max="6" width="10" customWidth="1"/>
  </cols>
  <sheetData>
    <row r="1" spans="1:6" ht="18.399999999999999" x14ac:dyDescent="0.6">
      <c r="A1" s="15" t="s">
        <v>304</v>
      </c>
      <c r="B1" s="15"/>
      <c r="C1" s="15"/>
    </row>
    <row r="3" spans="1:6" x14ac:dyDescent="0.6">
      <c r="A3" s="2" t="s">
        <v>37</v>
      </c>
      <c r="B3" s="2" t="s">
        <v>39</v>
      </c>
      <c r="C3" s="2" t="s">
        <v>305</v>
      </c>
      <c r="D3" s="2" t="s">
        <v>306</v>
      </c>
      <c r="E3" s="2" t="s">
        <v>307</v>
      </c>
      <c r="F3" s="2" t="s">
        <v>2</v>
      </c>
    </row>
    <row r="4" spans="1:6" ht="17" customHeight="1" x14ac:dyDescent="0.6">
      <c r="A4" s="3">
        <v>1</v>
      </c>
      <c r="B4" s="4" t="s">
        <v>53</v>
      </c>
      <c r="C4" s="4" t="s">
        <v>308</v>
      </c>
      <c r="D4" s="4" t="s">
        <v>309</v>
      </c>
      <c r="E4" s="4" t="s">
        <v>310</v>
      </c>
      <c r="F4" s="3" t="s">
        <v>7</v>
      </c>
    </row>
    <row r="5" spans="1:6" ht="17" customHeight="1" x14ac:dyDescent="0.6">
      <c r="A5" s="3">
        <v>7</v>
      </c>
      <c r="B5" s="4" t="s">
        <v>78</v>
      </c>
      <c r="C5" s="4" t="s">
        <v>311</v>
      </c>
      <c r="D5" s="4" t="s">
        <v>309</v>
      </c>
      <c r="E5" s="4" t="s">
        <v>163</v>
      </c>
      <c r="F5" s="3" t="s">
        <v>7</v>
      </c>
    </row>
    <row r="6" spans="1:6" ht="17" customHeight="1" x14ac:dyDescent="0.6">
      <c r="A6" s="3">
        <v>10</v>
      </c>
      <c r="B6" s="4" t="s">
        <v>87</v>
      </c>
      <c r="C6" s="4" t="s">
        <v>312</v>
      </c>
      <c r="D6" s="4" t="s">
        <v>309</v>
      </c>
      <c r="E6" s="4" t="s">
        <v>313</v>
      </c>
      <c r="F6" s="3" t="s">
        <v>314</v>
      </c>
    </row>
    <row r="7" spans="1:6" ht="17" customHeight="1" x14ac:dyDescent="0.6">
      <c r="A7" s="3">
        <v>11</v>
      </c>
      <c r="B7" s="4" t="s">
        <v>90</v>
      </c>
      <c r="C7" s="4" t="s">
        <v>315</v>
      </c>
      <c r="D7" s="4" t="s">
        <v>309</v>
      </c>
      <c r="E7" s="4" t="s">
        <v>316</v>
      </c>
      <c r="F7" s="3" t="s">
        <v>317</v>
      </c>
    </row>
    <row r="8" spans="1:6" ht="17" customHeight="1" x14ac:dyDescent="0.6">
      <c r="A8" s="3">
        <v>13</v>
      </c>
      <c r="B8" s="4" t="s">
        <v>96</v>
      </c>
      <c r="C8" s="4" t="s">
        <v>318</v>
      </c>
      <c r="D8" s="4" t="s">
        <v>319</v>
      </c>
      <c r="E8" s="4" t="s">
        <v>320</v>
      </c>
      <c r="F8" s="3" t="s">
        <v>314</v>
      </c>
    </row>
    <row r="9" spans="1:6" ht="17" customHeight="1" x14ac:dyDescent="0.6">
      <c r="A9" s="3">
        <v>14</v>
      </c>
      <c r="B9" s="4" t="s">
        <v>99</v>
      </c>
      <c r="C9" s="4" t="s">
        <v>321</v>
      </c>
      <c r="D9" s="4" t="s">
        <v>309</v>
      </c>
      <c r="E9" s="4" t="s">
        <v>322</v>
      </c>
      <c r="F9" s="3" t="s">
        <v>16</v>
      </c>
    </row>
    <row r="10" spans="1:6" ht="17" customHeight="1" x14ac:dyDescent="0.6">
      <c r="A10" s="3">
        <v>18</v>
      </c>
      <c r="B10" s="4" t="s">
        <v>111</v>
      </c>
      <c r="C10" s="4" t="s">
        <v>323</v>
      </c>
      <c r="D10" s="4" t="s">
        <v>309</v>
      </c>
      <c r="E10" s="4" t="s">
        <v>324</v>
      </c>
      <c r="F10" s="3" t="s">
        <v>4</v>
      </c>
    </row>
    <row r="11" spans="1:6" ht="17" customHeight="1" x14ac:dyDescent="0.6">
      <c r="A11" s="3">
        <v>19</v>
      </c>
      <c r="B11" s="4" t="s">
        <v>113</v>
      </c>
      <c r="C11" s="4" t="s">
        <v>325</v>
      </c>
      <c r="D11" s="4" t="s">
        <v>309</v>
      </c>
      <c r="E11" s="4" t="s">
        <v>326</v>
      </c>
      <c r="F11" s="3" t="s">
        <v>13</v>
      </c>
    </row>
    <row r="12" spans="1:6" ht="17" customHeight="1" x14ac:dyDescent="0.6">
      <c r="A12" s="3">
        <v>20</v>
      </c>
      <c r="B12" s="4" t="s">
        <v>116</v>
      </c>
      <c r="C12" s="4" t="s">
        <v>327</v>
      </c>
      <c r="D12" s="4" t="s">
        <v>309</v>
      </c>
      <c r="E12" s="4" t="s">
        <v>328</v>
      </c>
      <c r="F12" s="3" t="s">
        <v>314</v>
      </c>
    </row>
    <row r="13" spans="1:6" ht="17" customHeight="1" x14ac:dyDescent="0.6">
      <c r="A13" s="3">
        <v>15</v>
      </c>
      <c r="B13" s="4" t="s">
        <v>102</v>
      </c>
      <c r="C13" s="4" t="s">
        <v>329</v>
      </c>
      <c r="D13" s="4" t="s">
        <v>330</v>
      </c>
      <c r="E13" s="4" t="s">
        <v>331</v>
      </c>
      <c r="F13" s="3" t="s">
        <v>13</v>
      </c>
    </row>
    <row r="14" spans="1:6" ht="17" customHeight="1" x14ac:dyDescent="0.6">
      <c r="A14" s="3">
        <v>21</v>
      </c>
      <c r="B14" s="4" t="s">
        <v>118</v>
      </c>
      <c r="C14" s="4" t="s">
        <v>332</v>
      </c>
      <c r="D14" s="4" t="s">
        <v>330</v>
      </c>
      <c r="E14" s="4" t="s">
        <v>333</v>
      </c>
      <c r="F14" s="3" t="s">
        <v>13</v>
      </c>
    </row>
    <row r="15" spans="1:6" ht="17" customHeight="1" x14ac:dyDescent="0.6">
      <c r="A15" s="3">
        <v>8</v>
      </c>
      <c r="B15" s="4" t="s">
        <v>81</v>
      </c>
      <c r="C15" s="4" t="s">
        <v>334</v>
      </c>
      <c r="D15" s="4" t="s">
        <v>309</v>
      </c>
      <c r="E15" s="4" t="s">
        <v>335</v>
      </c>
      <c r="F15" s="3" t="s">
        <v>336</v>
      </c>
    </row>
  </sheetData>
  <mergeCells count="1">
    <mergeCell ref="A1:C1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showGridLines="0" workbookViewId="0"/>
  </sheetViews>
  <sheetFormatPr defaultRowHeight="16.899999999999999" x14ac:dyDescent="0.6"/>
  <cols>
    <col min="1" max="1" width="55" customWidth="1"/>
    <col min="2" max="2" width="35" customWidth="1"/>
    <col min="3" max="3" width="55" customWidth="1"/>
  </cols>
  <sheetData>
    <row r="1" spans="1:3" ht="18.399999999999999" x14ac:dyDescent="0.6">
      <c r="A1" s="1" t="s">
        <v>36</v>
      </c>
    </row>
    <row r="3" spans="1:3" x14ac:dyDescent="0.6">
      <c r="A3" s="2" t="s">
        <v>337</v>
      </c>
      <c r="B3" s="2" t="s">
        <v>338</v>
      </c>
      <c r="C3" s="2" t="s">
        <v>339</v>
      </c>
    </row>
    <row r="4" spans="1:3" ht="25.5" x14ac:dyDescent="0.6">
      <c r="A4" s="4" t="s">
        <v>340</v>
      </c>
      <c r="B4" s="4" t="s">
        <v>341</v>
      </c>
      <c r="C4" s="4" t="s">
        <v>342</v>
      </c>
    </row>
    <row r="5" spans="1:3" x14ac:dyDescent="0.6">
      <c r="A5" s="4" t="s">
        <v>343</v>
      </c>
      <c r="B5" s="4" t="s">
        <v>344</v>
      </c>
      <c r="C5" s="4" t="s">
        <v>345</v>
      </c>
    </row>
    <row r="6" spans="1:3" x14ac:dyDescent="0.6">
      <c r="A6" s="4" t="s">
        <v>346</v>
      </c>
      <c r="B6" s="4" t="s">
        <v>347</v>
      </c>
      <c r="C6" s="4" t="s">
        <v>348</v>
      </c>
    </row>
    <row r="7" spans="1:3" ht="25.5" x14ac:dyDescent="0.6">
      <c r="A7" s="4" t="s">
        <v>349</v>
      </c>
      <c r="B7" s="4" t="s">
        <v>350</v>
      </c>
      <c r="C7" s="4" t="s">
        <v>351</v>
      </c>
    </row>
    <row r="8" spans="1:3" x14ac:dyDescent="0.6">
      <c r="A8" s="4" t="s">
        <v>352</v>
      </c>
      <c r="B8" s="4" t="s">
        <v>353</v>
      </c>
      <c r="C8" s="4" t="s">
        <v>354</v>
      </c>
    </row>
    <row r="9" spans="1:3" x14ac:dyDescent="0.6">
      <c r="A9" s="4" t="s">
        <v>355</v>
      </c>
      <c r="B9" s="4" t="s">
        <v>356</v>
      </c>
      <c r="C9" s="4" t="s">
        <v>357</v>
      </c>
    </row>
    <row r="10" spans="1:3" x14ac:dyDescent="0.6">
      <c r="A10" s="4" t="s">
        <v>358</v>
      </c>
      <c r="B10" s="4" t="s">
        <v>359</v>
      </c>
      <c r="C10" s="4" t="s">
        <v>360</v>
      </c>
    </row>
    <row r="11" spans="1:3" x14ac:dyDescent="0.6">
      <c r="A11" s="4" t="s">
        <v>361</v>
      </c>
      <c r="B11" s="4" t="s">
        <v>362</v>
      </c>
      <c r="C11" s="4" t="s">
        <v>363</v>
      </c>
    </row>
    <row r="12" spans="1:3" ht="25.5" x14ac:dyDescent="0.6">
      <c r="A12" s="4" t="s">
        <v>364</v>
      </c>
      <c r="B12" s="4" t="s">
        <v>24</v>
      </c>
      <c r="C12" s="4" t="s">
        <v>365</v>
      </c>
    </row>
    <row r="13" spans="1:3" x14ac:dyDescent="0.6">
      <c r="A13" s="4" t="s">
        <v>366</v>
      </c>
      <c r="B13" s="4" t="s">
        <v>24</v>
      </c>
      <c r="C13" s="4" t="s">
        <v>367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비교 매트릭스</vt:lpstr>
      <vt:lpstr>논문별 차별점</vt:lpstr>
      <vt:lpstr>카테고리 요약</vt:lpstr>
      <vt:lpstr>Future work 근거</vt:lpstr>
      <vt:lpstr>약점·보완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호준 김</cp:lastModifiedBy>
  <dcterms:created xsi:type="dcterms:W3CDTF">2026-10-09T07:34:56Z</dcterms:created>
  <dcterms:modified xsi:type="dcterms:W3CDTF">2026-10-09T08:03:14Z</dcterms:modified>
</cp:coreProperties>
</file>